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테스트 케이스" sheetId="1" state="visible" r:id="rId1"/>
    <sheet xmlns:r="http://schemas.openxmlformats.org/officeDocument/2006/relationships" name="요약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F3B57"/>
      <sz val="16"/>
    </font>
    <font>
      <name val="Noto Sans CJK SC"/>
      <family val="2"/>
      <b val="1"/>
      <color rgb="FF1F3B57"/>
      <sz val="16"/>
    </font>
    <font>
      <name val="Noto Sans CJK SC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i val="1"/>
      <color rgb="FF777777"/>
      <sz val="10"/>
    </font>
    <font>
      <name val="Arial"/>
      <charset val="1"/>
      <family val="2"/>
      <i val="1"/>
      <color rgb="FF777777"/>
      <sz val="10"/>
    </font>
    <font>
      <name val="Arial"/>
      <charset val="1"/>
      <family val="2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color rgb="FF1F3B57"/>
      <sz val="16"/>
    </font>
    <font>
      <name val="Noto Sans CJK SC"/>
      <charset val="1"/>
      <family val="2"/>
      <b val="1"/>
      <sz val="12"/>
    </font>
    <font>
      <name val="Noto Sans CJK SC"/>
      <charset val="1"/>
      <family val="2"/>
      <b val="1"/>
      <sz val="11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Noto Sans CJK SC"/>
      <charset val="1"/>
      <family val="2"/>
      <sz val="11"/>
    </font>
    <font>
      <name val="Noto Sans CJK SC"/>
      <family val="2"/>
      <sz val="11"/>
    </font>
  </fonts>
  <fills count="5">
    <fill>
      <patternFill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6DA"/>
        <bgColor rgb="FFF2F5F8"/>
      </patternFill>
    </fill>
    <fill>
      <patternFill patternType="solid">
        <fgColor rgb="FFF2F5F8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left" vertical="top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left" vertical="top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4" fontId="1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6DA"/>
      <rgbColor rgb="FFF2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77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pane ySplit="3" topLeftCell="A4" activePane="bottomLeft" state="frozen"/>
      <selection pane="bottomLeft" activeCell="D1" activeCellId="0" sqref="D1"/>
      <selection pane="bottomLeft" activeCell="J37" activeCellId="0" sqref="J37"/>
    </sheetView>
  </sheetViews>
  <sheetFormatPr baseColWidth="8" defaultColWidth="8.71484375" defaultRowHeight="15" zeroHeight="0" outlineLevelRow="0"/>
  <cols>
    <col width="9" customWidth="1" style="30" min="1" max="1"/>
    <col width="12" customWidth="1" style="30" min="2" max="2"/>
    <col width="18" customWidth="1" style="30" min="3" max="3"/>
    <col width="24" customWidth="1" style="30" min="4" max="4"/>
    <col width="26" customWidth="1" style="30" min="5" max="5"/>
    <col width="40" customWidth="1" style="30" min="6" max="6"/>
    <col width="26" customWidth="1" style="30" min="7" max="7"/>
    <col width="10" customWidth="1" style="30" min="8" max="8"/>
    <col width="20" customWidth="1" style="30" min="9" max="9"/>
    <col width="30" customWidth="1" style="30" min="10" max="10"/>
    <col width="12" customWidth="1" style="30" min="11" max="12"/>
  </cols>
  <sheetData>
    <row r="1" ht="25.5" customHeight="1" s="31">
      <c r="A1" s="32" t="inlineStr">
        <is>
          <t>POTATO SURVIVORS — QA 테스트 케이스 (2회차: 회귀 + 탐색)</t>
        </is>
      </c>
    </row>
    <row r="2" ht="15.75" customHeight="1" s="31">
      <c r="A2" s="33" t="inlineStr">
        <is>
          <t>2회차 = 1회차 TC 55개(회귀) + 탐색 TC 10개 + 보스 라운드 TC 9개. Fail은 Jira(SCRUM-n)에 등록하고, 원인과 수정 커밋은 비고에, 수정 후 결과는 재검증 칸에 기록했습니다.</t>
        </is>
      </c>
    </row>
    <row r="3" ht="21.75" customHeight="1" s="31">
      <c r="A3" s="34" t="inlineStr">
        <is>
          <t>TC ID</t>
        </is>
      </c>
      <c r="B3" s="35" t="inlineStr">
        <is>
          <t>대분류</t>
        </is>
      </c>
      <c r="C3" s="35" t="inlineStr">
        <is>
          <t>테스트 항목</t>
        </is>
      </c>
      <c r="D3" s="35" t="inlineStr">
        <is>
          <t>사전조건</t>
        </is>
      </c>
      <c r="E3" s="35" t="inlineStr">
        <is>
          <t>테스트 절차</t>
        </is>
      </c>
      <c r="F3" s="35" t="inlineStr">
        <is>
          <t>기대 결과</t>
        </is>
      </c>
      <c r="G3" s="35" t="inlineStr">
        <is>
          <t>실제 결과</t>
        </is>
      </c>
      <c r="H3" s="35" t="inlineStr">
        <is>
          <t>결과</t>
        </is>
      </c>
      <c r="I3" s="35" t="inlineStr">
        <is>
          <t>비고</t>
        </is>
      </c>
      <c r="J3" s="35" t="inlineStr">
        <is>
          <t>1회차 이력</t>
        </is>
      </c>
      <c r="K3" s="35" t="inlineStr">
        <is>
          <t>Jira 이슈</t>
        </is>
      </c>
      <c r="L3" s="35" t="inlineStr">
        <is>
          <t>재검증</t>
        </is>
      </c>
    </row>
    <row r="4" ht="29.25" customHeight="1" s="31">
      <c r="A4" s="36" t="inlineStr">
        <is>
          <t>TC-001</t>
        </is>
      </c>
      <c r="B4" s="37" t="inlineStr">
        <is>
          <t>로비</t>
        </is>
      </c>
      <c r="C4" s="37" t="inlineStr">
        <is>
          <t>게임 최초 실행</t>
        </is>
      </c>
      <c r="D4" s="38" t="inlineStr">
        <is>
          <t>게임을 처음 실행</t>
        </is>
      </c>
      <c r="E4" s="38" t="inlineStr">
        <is>
          <t>에디터/빌드로 게임 실행</t>
        </is>
      </c>
      <c r="F4" s="39" t="inlineStr">
        <is>
          <t>MainMenu 씬이 먼저 표시(타이틀 로고·무기 6종·시작/종료 버튼)</t>
        </is>
      </c>
      <c r="G4" s="39" t="n"/>
      <c r="H4" s="36" t="inlineStr">
        <is>
          <t>Pass</t>
        </is>
      </c>
      <c r="I4" s="39" t="n"/>
      <c r="J4" s="39" t="n"/>
      <c r="K4" s="39" t="n"/>
      <c r="L4" s="39" t="n"/>
    </row>
    <row r="5" ht="29.25" customHeight="1" s="31">
      <c r="A5" s="40" t="inlineStr">
        <is>
          <t>TC-002</t>
        </is>
      </c>
      <c r="B5" s="41" t="inlineStr">
        <is>
          <t>로비</t>
        </is>
      </c>
      <c r="C5" s="41" t="inlineStr">
        <is>
          <t>무기 선택</t>
        </is>
      </c>
      <c r="D5" s="42" t="inlineStr">
        <is>
          <t>로비 화면</t>
        </is>
      </c>
      <c r="E5" s="42" t="inlineStr">
        <is>
          <t>무기 카드 클릭</t>
        </is>
      </c>
      <c r="F5" s="42" t="inlineStr">
        <is>
          <t>선택 카드가 노란색 하이라이트 + 하단에 선택 무기 정보 표시</t>
        </is>
      </c>
      <c r="G5" s="39" t="n"/>
      <c r="H5" s="36" t="inlineStr">
        <is>
          <t>Pass</t>
        </is>
      </c>
      <c r="I5" s="39" t="n"/>
      <c r="J5" s="39" t="n"/>
      <c r="K5" s="39" t="n"/>
      <c r="L5" s="39" t="n"/>
    </row>
    <row r="6" ht="15" customHeight="1" s="31">
      <c r="A6" s="36" t="inlineStr">
        <is>
          <t>TC-003</t>
        </is>
      </c>
      <c r="B6" s="37" t="inlineStr">
        <is>
          <t>로비</t>
        </is>
      </c>
      <c r="C6" s="37" t="inlineStr">
        <is>
          <t>게임 시작</t>
        </is>
      </c>
      <c r="D6" s="38" t="inlineStr">
        <is>
          <t>무기 1개 선택</t>
        </is>
      </c>
      <c r="E6" s="39" t="inlineStr">
        <is>
          <t>'게임 시작' 클릭</t>
        </is>
      </c>
      <c r="F6" s="38" t="inlineStr">
        <is>
          <t>게임 씬 진입 + 선택 무기를 장착한 상태로 시작</t>
        </is>
      </c>
      <c r="G6" s="39" t="n"/>
      <c r="H6" s="36" t="inlineStr">
        <is>
          <t>Pass</t>
        </is>
      </c>
      <c r="I6" s="39" t="n"/>
      <c r="J6" s="39" t="n"/>
      <c r="K6" s="39" t="n"/>
      <c r="L6" s="39" t="n"/>
    </row>
    <row r="7" ht="15" customHeight="1" s="31">
      <c r="A7" s="40" t="inlineStr">
        <is>
          <t>TC-004</t>
        </is>
      </c>
      <c r="B7" s="41" t="inlineStr">
        <is>
          <t>로비</t>
        </is>
      </c>
      <c r="C7" s="41" t="inlineStr">
        <is>
          <t>무기 미선택 시작</t>
        </is>
      </c>
      <c r="D7" s="42" t="inlineStr">
        <is>
          <t>로비 진입 직후(카드 클릭 안 함)</t>
        </is>
      </c>
      <c r="E7" s="43" t="inlineStr">
        <is>
          <t>'게임 시작' 클릭</t>
        </is>
      </c>
      <c r="F7" s="42" t="inlineStr">
        <is>
          <t>첫 무기가 기본 선택된 상태로 시작(빈손 시작 없음)</t>
        </is>
      </c>
      <c r="G7" s="39" t="n"/>
      <c r="H7" s="36" t="inlineStr">
        <is>
          <t>Pass</t>
        </is>
      </c>
      <c r="I7" s="39" t="n"/>
      <c r="J7" s="38" t="inlineStr">
        <is>
          <t>보류 → 사양 확정(첫 무기 기본 선택)</t>
        </is>
      </c>
      <c r="K7" s="39" t="n"/>
      <c r="L7" s="39" t="n"/>
    </row>
    <row r="8" ht="15" customHeight="1" s="31">
      <c r="A8" s="36" t="inlineStr">
        <is>
          <t>TC-005</t>
        </is>
      </c>
      <c r="B8" s="37" t="inlineStr">
        <is>
          <t>로비</t>
        </is>
      </c>
      <c r="C8" s="37" t="inlineStr">
        <is>
          <t>종료</t>
        </is>
      </c>
      <c r="D8" s="38" t="inlineStr">
        <is>
          <t>로비 화면</t>
        </is>
      </c>
      <c r="E8" s="39" t="inlineStr">
        <is>
          <t>'종료' 클릭</t>
        </is>
      </c>
      <c r="F8" s="38" t="inlineStr">
        <is>
          <t>게임 종료(에디터는 플레이 모드 중지)</t>
        </is>
      </c>
      <c r="G8" s="39" t="n"/>
      <c r="H8" s="36" t="inlineStr">
        <is>
          <t>Pass</t>
        </is>
      </c>
      <c r="I8" s="39" t="n"/>
      <c r="J8" s="39" t="n"/>
      <c r="K8" s="39" t="n"/>
      <c r="L8" s="39" t="n"/>
    </row>
    <row r="9" ht="15" customHeight="1" s="31">
      <c r="A9" s="40" t="inlineStr">
        <is>
          <t>TC-006</t>
        </is>
      </c>
      <c r="B9" s="41" t="inlineStr">
        <is>
          <t>이동</t>
        </is>
      </c>
      <c r="C9" s="41" t="inlineStr">
        <is>
          <t>기본 이동</t>
        </is>
      </c>
      <c r="D9" s="42" t="inlineStr">
        <is>
          <t>게임 진행 중</t>
        </is>
      </c>
      <c r="E9" s="43" t="inlineStr">
        <is>
          <t>WASD/방향키 입력</t>
        </is>
      </c>
      <c r="F9" s="42" t="inlineStr">
        <is>
          <t>플레이어가 해당 방향으로 이동</t>
        </is>
      </c>
      <c r="G9" s="39" t="n"/>
      <c r="H9" s="36" t="inlineStr">
        <is>
          <t>Pass</t>
        </is>
      </c>
      <c r="I9" s="39" t="n"/>
      <c r="J9" s="39" t="n"/>
      <c r="K9" s="39" t="n"/>
      <c r="L9" s="39" t="n"/>
    </row>
    <row r="10" ht="15" customHeight="1" s="31">
      <c r="A10" s="36" t="inlineStr">
        <is>
          <t>TC-007</t>
        </is>
      </c>
      <c r="B10" s="37" t="inlineStr">
        <is>
          <t>이동</t>
        </is>
      </c>
      <c r="C10" s="37" t="inlineStr">
        <is>
          <t>화면 경계</t>
        </is>
      </c>
      <c r="D10" s="38" t="inlineStr">
        <is>
          <t>플레이어를 화면 끝으로</t>
        </is>
      </c>
      <c r="E10" s="38" t="inlineStr">
        <is>
          <t>화면 밖으로 계속 이동 시도</t>
        </is>
      </c>
      <c r="F10" s="38" t="inlineStr">
        <is>
          <t>카메라 화면 경계를 벗어나지 않음</t>
        </is>
      </c>
      <c r="G10" s="39" t="n"/>
      <c r="H10" s="36" t="inlineStr">
        <is>
          <t>Pass</t>
        </is>
      </c>
      <c r="I10" s="39" t="n"/>
      <c r="J10" s="39" t="inlineStr">
        <is>
          <t>Fail → edgePadding 수정, 재검증 Pass</t>
        </is>
      </c>
      <c r="K10" s="39" t="n"/>
      <c r="L10" s="39" t="n"/>
    </row>
    <row r="11" ht="15" customHeight="1" s="31">
      <c r="A11" s="40" t="inlineStr">
        <is>
          <t>TC-008</t>
        </is>
      </c>
      <c r="B11" s="41" t="inlineStr">
        <is>
          <t>전투</t>
        </is>
      </c>
      <c r="C11" s="41" t="inlineStr">
        <is>
          <t>근접 자동공격</t>
        </is>
      </c>
      <c r="D11" s="42" t="inlineStr">
        <is>
          <t>근접 무기 장착·적 존재</t>
        </is>
      </c>
      <c r="E11" s="42" t="inlineStr">
        <is>
          <t>적이 감지 범위에 진입</t>
        </is>
      </c>
      <c r="F11" s="42" t="inlineStr">
        <is>
          <t>무기가 자동 스핀 공격하여 적에게 피해</t>
        </is>
      </c>
      <c r="G11" s="39" t="n"/>
      <c r="H11" s="36" t="inlineStr">
        <is>
          <t>Pass</t>
        </is>
      </c>
      <c r="I11" s="39" t="n"/>
      <c r="J11" s="39" t="n"/>
      <c r="K11" s="39" t="n"/>
      <c r="L11" s="39" t="n"/>
    </row>
    <row r="12" ht="15" customHeight="1" s="31">
      <c r="A12" s="36" t="inlineStr">
        <is>
          <t>TC-009</t>
        </is>
      </c>
      <c r="B12" s="37" t="inlineStr">
        <is>
          <t>전투</t>
        </is>
      </c>
      <c r="C12" s="37" t="inlineStr">
        <is>
          <t>원거리 발사</t>
        </is>
      </c>
      <c r="D12" s="38" t="inlineStr">
        <is>
          <t>원거리 무기 장착·적 존재</t>
        </is>
      </c>
      <c r="E12" s="38" t="inlineStr">
        <is>
          <t>적 감지</t>
        </is>
      </c>
      <c r="F12" s="38" t="inlineStr">
        <is>
          <t>투사체가 적 방향으로 발사되어 피해</t>
        </is>
      </c>
      <c r="G12" s="39" t="n"/>
      <c r="H12" s="36" t="inlineStr">
        <is>
          <t>Pass</t>
        </is>
      </c>
      <c r="I12" s="39" t="n"/>
      <c r="J12" s="39" t="n"/>
      <c r="K12" s="39" t="n"/>
      <c r="L12" s="39" t="n"/>
    </row>
    <row r="13" ht="15" customHeight="1" s="31">
      <c r="A13" s="40" t="inlineStr">
        <is>
          <t>TC-010</t>
        </is>
      </c>
      <c r="B13" s="41" t="inlineStr">
        <is>
          <t>전투</t>
        </is>
      </c>
      <c r="C13" s="41" t="inlineStr">
        <is>
          <t>샷건 산탄</t>
        </is>
      </c>
      <c r="D13" s="42" t="inlineStr">
        <is>
          <t>샷건 장착</t>
        </is>
      </c>
      <c r="E13" s="42" t="inlineStr">
        <is>
          <t>공격 발동</t>
        </is>
      </c>
      <c r="F13" s="42" t="inlineStr">
        <is>
          <t>투사체 5발이 부채꼴로 발사</t>
        </is>
      </c>
      <c r="G13" s="39" t="n"/>
      <c r="H13" s="36" t="inlineStr">
        <is>
          <t>Pass</t>
        </is>
      </c>
      <c r="I13" s="39" t="n"/>
      <c r="J13" s="39" t="n"/>
      <c r="K13" s="39" t="n"/>
      <c r="L13" s="39" t="n"/>
    </row>
    <row r="14" ht="15" customHeight="1" s="31">
      <c r="A14" s="36" t="inlineStr">
        <is>
          <t>TC-011</t>
        </is>
      </c>
      <c r="B14" s="37" t="inlineStr">
        <is>
          <t>전투</t>
        </is>
      </c>
      <c r="C14" s="37" t="inlineStr">
        <is>
          <t>쿨다운</t>
        </is>
      </c>
      <c r="D14" s="38" t="inlineStr">
        <is>
          <t>공격 직후</t>
        </is>
      </c>
      <c r="E14" s="38" t="inlineStr">
        <is>
          <t>쿨다운 시간 대기</t>
        </is>
      </c>
      <c r="F14" s="38" t="inlineStr">
        <is>
          <t>쿨다운 경과 후 다음 공격 발동</t>
        </is>
      </c>
      <c r="G14" s="39" t="n"/>
      <c r="H14" s="36" t="inlineStr">
        <is>
          <t>Pass</t>
        </is>
      </c>
      <c r="I14" s="39" t="n"/>
      <c r="J14" s="39" t="n"/>
      <c r="K14" s="39" t="n"/>
      <c r="L14" s="39" t="n"/>
    </row>
    <row r="15" ht="15" customHeight="1" s="31">
      <c r="A15" s="40" t="inlineStr">
        <is>
          <t>TC-012</t>
        </is>
      </c>
      <c r="B15" s="41" t="inlineStr">
        <is>
          <t>전투</t>
        </is>
      </c>
      <c r="C15" s="41" t="inlineStr">
        <is>
          <t>적 없음</t>
        </is>
      </c>
      <c r="D15" s="42" t="inlineStr">
        <is>
          <t>주변에 적 없음</t>
        </is>
      </c>
      <c r="E15" s="42" t="inlineStr">
        <is>
          <t>대기</t>
        </is>
      </c>
      <c r="F15" s="42" t="inlineStr">
        <is>
          <t>무기가 공격하지 않음(투사체 낭비 없음)</t>
        </is>
      </c>
      <c r="G15" s="39" t="n"/>
      <c r="H15" s="36" t="inlineStr">
        <is>
          <t>Pass</t>
        </is>
      </c>
      <c r="I15" s="39" t="n"/>
      <c r="J15" s="39" t="n"/>
      <c r="K15" s="39" t="n"/>
      <c r="L15" s="39" t="n"/>
    </row>
    <row r="16" ht="15" customHeight="1" s="31">
      <c r="A16" s="36" t="inlineStr">
        <is>
          <t>TC-013</t>
        </is>
      </c>
      <c r="B16" s="37" t="inlineStr">
        <is>
          <t>전투</t>
        </is>
      </c>
      <c r="C16" s="37" t="inlineStr">
        <is>
          <t>관통</t>
        </is>
      </c>
      <c r="D16" s="38" t="inlineStr">
        <is>
          <t>관통 무기(석궁 등)</t>
        </is>
      </c>
      <c r="E16" s="38" t="inlineStr">
        <is>
          <t>투사체가 적 명중</t>
        </is>
      </c>
      <c r="F16" s="38" t="inlineStr">
        <is>
          <t>지정 관통 수만큼 적을 통과하며 타격</t>
        </is>
      </c>
      <c r="G16" s="39" t="n"/>
      <c r="H16" s="36" t="inlineStr">
        <is>
          <t>Pass</t>
        </is>
      </c>
      <c r="I16" s="39" t="n"/>
      <c r="J16" s="39" t="n"/>
      <c r="K16" s="39" t="n"/>
      <c r="L16" s="39" t="n"/>
    </row>
    <row r="17" ht="15" customHeight="1" s="31">
      <c r="A17" s="40" t="inlineStr">
        <is>
          <t>TC-014</t>
        </is>
      </c>
      <c r="B17" s="41" t="inlineStr">
        <is>
          <t>몬스터</t>
        </is>
      </c>
      <c r="C17" s="41" t="inlineStr">
        <is>
          <t>스폰 위치</t>
        </is>
      </c>
      <c r="D17" s="42" t="inlineStr">
        <is>
          <t>웨이브 시작</t>
        </is>
      </c>
      <c r="E17" s="42" t="inlineStr">
        <is>
          <t>웨이브 개시</t>
        </is>
      </c>
      <c r="F17" s="42" t="inlineStr">
        <is>
          <t>몬스터가 화면 안 영역에 스폰</t>
        </is>
      </c>
      <c r="G17" s="39" t="n"/>
      <c r="H17" s="36" t="inlineStr">
        <is>
          <t>Pass</t>
        </is>
      </c>
      <c r="I17" s="39" t="n"/>
      <c r="J17" s="39" t="n"/>
      <c r="K17" s="39" t="n"/>
      <c r="L17" s="39" t="n"/>
    </row>
    <row r="18" ht="15" customHeight="1" s="31">
      <c r="A18" s="36" t="inlineStr">
        <is>
          <t>TC-015</t>
        </is>
      </c>
      <c r="B18" s="37" t="inlineStr">
        <is>
          <t>몬스터</t>
        </is>
      </c>
      <c r="C18" s="37" t="inlineStr">
        <is>
          <t>추격</t>
        </is>
      </c>
      <c r="D18" s="38" t="inlineStr">
        <is>
          <t>몬스터 스폰됨</t>
        </is>
      </c>
      <c r="E18" s="38" t="inlineStr">
        <is>
          <t>시간 경과</t>
        </is>
      </c>
      <c r="F18" s="38" t="inlineStr">
        <is>
          <t>몬스터가 플레이어를 추격</t>
        </is>
      </c>
      <c r="G18" s="39" t="n"/>
      <c r="H18" s="36" t="inlineStr">
        <is>
          <t>Pass</t>
        </is>
      </c>
      <c r="I18" s="39" t="n"/>
      <c r="J18" s="39" t="n"/>
      <c r="K18" s="39" t="n"/>
      <c r="L18" s="39" t="n"/>
    </row>
    <row r="19" ht="15" customHeight="1" s="31">
      <c r="A19" s="40" t="inlineStr">
        <is>
          <t>TC-016</t>
        </is>
      </c>
      <c r="B19" s="41" t="inlineStr">
        <is>
          <t>몬스터</t>
        </is>
      </c>
      <c r="C19" s="41" t="inlineStr">
        <is>
          <t>근접 공격</t>
        </is>
      </c>
      <c r="D19" s="42" t="inlineStr">
        <is>
          <t>몬스터가 플레이어에 접촉</t>
        </is>
      </c>
      <c r="E19" s="42" t="inlineStr">
        <is>
          <t>접촉 유지</t>
        </is>
      </c>
      <c r="F19" s="42" t="inlineStr">
        <is>
          <t>플레이어 HP 감소</t>
        </is>
      </c>
      <c r="G19" s="39" t="n"/>
      <c r="H19" s="36" t="inlineStr">
        <is>
          <t>Pass</t>
        </is>
      </c>
      <c r="I19" s="39" t="n"/>
      <c r="J19" s="39" t="n"/>
      <c r="K19" s="39" t="n"/>
      <c r="L19" s="39" t="n"/>
    </row>
    <row r="20" ht="29.25" customHeight="1" s="31">
      <c r="A20" s="36" t="inlineStr">
        <is>
          <t>TC-017</t>
        </is>
      </c>
      <c r="B20" s="37" t="inlineStr">
        <is>
          <t>몬스터</t>
        </is>
      </c>
      <c r="C20" s="37" t="inlineStr">
        <is>
          <t>원거리 몬스터</t>
        </is>
      </c>
      <c r="D20" s="38" t="inlineStr">
        <is>
          <t>원거리 몬스터 존재</t>
        </is>
      </c>
      <c r="E20" s="38" t="inlineStr">
        <is>
          <t>사거리 내 플레이어</t>
        </is>
      </c>
      <c r="F20" s="38" t="inlineStr">
        <is>
          <t>몬스터가 플레이어에게 투사체 발사(플레이어만 피격, 몬스터끼리 X)</t>
        </is>
      </c>
      <c r="G20" s="39" t="n"/>
      <c r="H20" s="36" t="inlineStr">
        <is>
          <t>Pass</t>
        </is>
      </c>
      <c r="I20" s="39" t="n"/>
      <c r="J20" s="39" t="n"/>
      <c r="K20" s="39" t="n"/>
      <c r="L20" s="39" t="n"/>
    </row>
    <row r="21" ht="15" customHeight="1" s="31">
      <c r="A21" s="40" t="inlineStr">
        <is>
          <t>TC-018</t>
        </is>
      </c>
      <c r="B21" s="41" t="inlineStr">
        <is>
          <t>보스</t>
        </is>
      </c>
      <c r="C21" s="41" t="inlineStr">
        <is>
          <t>등장 주기</t>
        </is>
      </c>
      <c r="D21" s="42" t="inlineStr">
        <is>
          <t>스테이지 진행</t>
        </is>
      </c>
      <c r="E21" s="43" t="inlineStr">
        <is>
          <t>5스테이지 도달</t>
        </is>
      </c>
      <c r="F21" s="42" t="inlineStr">
        <is>
          <t>보스가 등장(2라운드에는 안 나옴)</t>
        </is>
      </c>
      <c r="G21" s="39" t="n"/>
      <c r="H21" s="36" t="inlineStr">
        <is>
          <t>Pass</t>
        </is>
      </c>
      <c r="I21" s="39" t="n"/>
      <c r="J21" s="39" t="inlineStr">
        <is>
          <t>Fail → SpawnConfig 자동 주입, 재검증 Pass</t>
        </is>
      </c>
      <c r="K21" s="39" t="n"/>
      <c r="L21" s="39" t="n"/>
    </row>
    <row r="22" ht="15" customHeight="1" s="31">
      <c r="A22" s="36" t="inlineStr">
        <is>
          <t>TC-019</t>
        </is>
      </c>
      <c r="B22" s="37" t="inlineStr">
        <is>
          <t>몬스터</t>
        </is>
      </c>
      <c r="C22" s="37" t="inlineStr">
        <is>
          <t>처치 보상</t>
        </is>
      </c>
      <c r="D22" s="38" t="inlineStr">
        <is>
          <t>몬스터에 피해 누적</t>
        </is>
      </c>
      <c r="E22" s="38" t="inlineStr">
        <is>
          <t>몬스터 처치</t>
        </is>
      </c>
      <c r="F22" s="38" t="inlineStr">
        <is>
          <t>코인이 드랍됨</t>
        </is>
      </c>
      <c r="G22" s="39" t="n"/>
      <c r="H22" s="36" t="inlineStr">
        <is>
          <t>Pass</t>
        </is>
      </c>
      <c r="I22" s="39" t="n"/>
      <c r="J22" s="39" t="n"/>
      <c r="K22" s="39" t="n"/>
      <c r="L22" s="39" t="n"/>
    </row>
    <row r="23" ht="15" customHeight="1" s="31">
      <c r="A23" s="40" t="inlineStr">
        <is>
          <t>TC-020</t>
        </is>
      </c>
      <c r="B23" s="41" t="inlineStr">
        <is>
          <t>웨이브</t>
        </is>
      </c>
      <c r="C23" s="41" t="inlineStr">
        <is>
          <t>시간 종료</t>
        </is>
      </c>
      <c r="D23" s="42" t="inlineStr">
        <is>
          <t>웨이브 진행 중</t>
        </is>
      </c>
      <c r="E23" s="43" t="inlineStr">
        <is>
          <t>20초 경과</t>
        </is>
      </c>
      <c r="F23" s="42" t="inlineStr">
        <is>
          <t>웨이브 종료 후 상점 오픈</t>
        </is>
      </c>
      <c r="G23" s="39" t="n"/>
      <c r="H23" s="36" t="inlineStr">
        <is>
          <t>Pass</t>
        </is>
      </c>
      <c r="I23" s="39" t="n"/>
      <c r="J23" s="39" t="n"/>
      <c r="K23" s="39" t="n"/>
      <c r="L23" s="39" t="n"/>
    </row>
    <row r="24" ht="15" customHeight="1" s="31">
      <c r="A24" s="36" t="inlineStr">
        <is>
          <t>TC-021</t>
        </is>
      </c>
      <c r="B24" s="37" t="inlineStr">
        <is>
          <t>웨이브</t>
        </is>
      </c>
      <c r="C24" s="37" t="inlineStr">
        <is>
          <t>전멸 무관</t>
        </is>
      </c>
      <c r="D24" s="38" t="inlineStr">
        <is>
          <t>웨이브 진행 중</t>
        </is>
      </c>
      <c r="E24" s="38" t="inlineStr">
        <is>
          <t>시간 남은 채 모든 몬스터 처치</t>
        </is>
      </c>
      <c r="F24" s="38" t="inlineStr">
        <is>
          <t>웨이브가 끝나지 않고 계속 진행(시간 기반)</t>
        </is>
      </c>
      <c r="G24" s="39" t="n"/>
      <c r="H24" s="36" t="inlineStr">
        <is>
          <t>Pass</t>
        </is>
      </c>
      <c r="I24" s="39" t="n"/>
      <c r="J24" s="39" t="n"/>
      <c r="K24" s="39" t="n"/>
      <c r="L24" s="39" t="n"/>
    </row>
    <row r="25" ht="15" customHeight="1" s="31">
      <c r="A25" s="40" t="inlineStr">
        <is>
          <t>TC-022</t>
        </is>
      </c>
      <c r="B25" s="41" t="inlineStr">
        <is>
          <t>스테이지</t>
        </is>
      </c>
      <c r="C25" s="41" t="inlineStr">
        <is>
          <t>번호 증가</t>
        </is>
      </c>
      <c r="D25" s="42" t="inlineStr">
        <is>
          <t>상점 화면</t>
        </is>
      </c>
      <c r="E25" s="43" t="inlineStr">
        <is>
          <t>'다음 라운드' 클릭</t>
        </is>
      </c>
      <c r="F25" s="42" t="inlineStr">
        <is>
          <t>스테이지 번호 +1 후 웨이브 재개</t>
        </is>
      </c>
      <c r="G25" s="39" t="n"/>
      <c r="H25" s="36" t="inlineStr">
        <is>
          <t>Pass</t>
        </is>
      </c>
      <c r="I25" s="39" t="n"/>
      <c r="J25" s="39" t="n"/>
      <c r="K25" s="39" t="n"/>
      <c r="L25" s="39" t="n"/>
    </row>
    <row r="26" ht="15" customHeight="1" s="31">
      <c r="A26" s="36" t="inlineStr">
        <is>
          <t>TC-023</t>
        </is>
      </c>
      <c r="B26" s="44" t="inlineStr">
        <is>
          <t>HP</t>
        </is>
      </c>
      <c r="C26" s="37" t="inlineStr">
        <is>
          <t>체력바 감소</t>
        </is>
      </c>
      <c r="D26" s="38" t="inlineStr">
        <is>
          <t>플레이어 피격</t>
        </is>
      </c>
      <c r="E26" s="38" t="inlineStr">
        <is>
          <t>피해 받음</t>
        </is>
      </c>
      <c r="F26" s="38" t="inlineStr">
        <is>
          <t>머리 위 체력바가 감소</t>
        </is>
      </c>
      <c r="G26" s="39" t="n"/>
      <c r="H26" s="36" t="inlineStr">
        <is>
          <t>Pass</t>
        </is>
      </c>
      <c r="I26" s="39" t="n"/>
      <c r="J26" s="39" t="n"/>
      <c r="K26" s="39" t="n"/>
      <c r="L26" s="39" t="n"/>
    </row>
    <row r="27" ht="15" customHeight="1" s="31">
      <c r="A27" s="40" t="inlineStr">
        <is>
          <t>TC-024</t>
        </is>
      </c>
      <c r="B27" s="41" t="inlineStr">
        <is>
          <t>사망</t>
        </is>
      </c>
      <c r="C27" s="41" t="inlineStr">
        <is>
          <t>게임오버</t>
        </is>
      </c>
      <c r="D27" s="42" t="inlineStr">
        <is>
          <t>플레이어 HP 0</t>
        </is>
      </c>
      <c r="E27" s="43" t="inlineStr">
        <is>
          <t>HP가 0이 됨</t>
        </is>
      </c>
      <c r="F27" s="42" t="inlineStr">
        <is>
          <t>게임오버 패널 표시 + 게임 일시정지</t>
        </is>
      </c>
      <c r="G27" s="39" t="n"/>
      <c r="H27" s="36" t="inlineStr">
        <is>
          <t>Pass</t>
        </is>
      </c>
      <c r="I27" s="39" t="n"/>
      <c r="J27" s="39" t="n"/>
      <c r="K27" s="39" t="n"/>
      <c r="L27" s="39" t="n"/>
    </row>
    <row r="28" ht="15" customHeight="1" s="31">
      <c r="A28" s="36" t="inlineStr">
        <is>
          <t>TC-025</t>
        </is>
      </c>
      <c r="B28" s="37" t="inlineStr">
        <is>
          <t>게임오버</t>
        </is>
      </c>
      <c r="C28" s="37" t="inlineStr">
        <is>
          <t>재시작</t>
        </is>
      </c>
      <c r="D28" s="38" t="inlineStr">
        <is>
          <t>게임오버 패널</t>
        </is>
      </c>
      <c r="E28" s="39" t="inlineStr">
        <is>
          <t>'다시 시작' 클릭</t>
        </is>
      </c>
      <c r="F28" s="38" t="inlineStr">
        <is>
          <t>현재 씬 리로드(초기화) + 시작 무기 재지급</t>
        </is>
      </c>
      <c r="G28" s="39" t="n"/>
      <c r="H28" s="36" t="inlineStr">
        <is>
          <t>Pass</t>
        </is>
      </c>
      <c r="I28" s="39" t="n"/>
      <c r="J28" s="39" t="n"/>
      <c r="K28" s="39" t="n"/>
      <c r="L28" s="39" t="n"/>
    </row>
    <row r="29" ht="15" customHeight="1" s="31">
      <c r="A29" s="40" t="inlineStr">
        <is>
          <t>TC-026</t>
        </is>
      </c>
      <c r="B29" s="41" t="inlineStr">
        <is>
          <t>게임오버</t>
        </is>
      </c>
      <c r="C29" s="41" t="inlineStr">
        <is>
          <t>로비 복귀</t>
        </is>
      </c>
      <c r="D29" s="42" t="inlineStr">
        <is>
          <t>게임오버 패널</t>
        </is>
      </c>
      <c r="E29" s="43" t="inlineStr">
        <is>
          <t>'로비로' 클릭</t>
        </is>
      </c>
      <c r="F29" s="43" t="inlineStr">
        <is>
          <t>MainMenu 복귀 + 시작 무기 선택 초기화</t>
        </is>
      </c>
      <c r="G29" s="39" t="n"/>
      <c r="H29" s="36" t="inlineStr">
        <is>
          <t>Pass</t>
        </is>
      </c>
      <c r="I29" s="39" t="n"/>
      <c r="J29" s="39" t="n"/>
      <c r="K29" s="39" t="n"/>
      <c r="L29" s="39" t="n"/>
    </row>
    <row r="30" ht="15" customHeight="1" s="31">
      <c r="A30" s="36" t="inlineStr">
        <is>
          <t>TC-027</t>
        </is>
      </c>
      <c r="B30" s="37" t="inlineStr">
        <is>
          <t>코인</t>
        </is>
      </c>
      <c r="C30" s="37" t="inlineStr">
        <is>
          <t>드랍</t>
        </is>
      </c>
      <c r="D30" s="38" t="inlineStr">
        <is>
          <t>몬스터 처치</t>
        </is>
      </c>
      <c r="E30" s="38" t="inlineStr">
        <is>
          <t>처치 발생</t>
        </is>
      </c>
      <c r="F30" s="38" t="inlineStr">
        <is>
          <t>코인이 바닥에 드랍</t>
        </is>
      </c>
      <c r="G30" s="39" t="n"/>
      <c r="H30" s="36" t="inlineStr">
        <is>
          <t>Pass</t>
        </is>
      </c>
      <c r="I30" s="39" t="n"/>
      <c r="J30" s="39" t="n"/>
      <c r="K30" s="39" t="n"/>
      <c r="L30" s="39" t="n"/>
    </row>
    <row r="31" ht="15" customHeight="1" s="31">
      <c r="A31" s="40" t="inlineStr">
        <is>
          <t>TC-028</t>
        </is>
      </c>
      <c r="B31" s="41" t="inlineStr">
        <is>
          <t>코인</t>
        </is>
      </c>
      <c r="C31" s="41" t="inlineStr">
        <is>
          <t>자석 획득</t>
        </is>
      </c>
      <c r="D31" s="42" t="inlineStr">
        <is>
          <t>코인 드랍됨</t>
        </is>
      </c>
      <c r="E31" s="42" t="inlineStr">
        <is>
          <t>플레이어가 코인에 접근</t>
        </is>
      </c>
      <c r="F31" s="42" t="inlineStr">
        <is>
          <t>코인이 흡수되어 골드 증가</t>
        </is>
      </c>
      <c r="G31" s="39" t="n"/>
      <c r="H31" s="36" t="inlineStr">
        <is>
          <t>Pass</t>
        </is>
      </c>
      <c r="I31" s="39" t="n"/>
      <c r="J31" s="39" t="inlineStr">
        <is>
          <t>Fail → 자석 범위 상향, 재검증 Pass</t>
        </is>
      </c>
      <c r="K31" s="39" t="n"/>
      <c r="L31" s="39" t="n"/>
    </row>
    <row r="32" ht="15" customHeight="1" s="31">
      <c r="A32" s="36" t="inlineStr">
        <is>
          <t>TC-029</t>
        </is>
      </c>
      <c r="B32" s="37" t="inlineStr">
        <is>
          <t>코인</t>
        </is>
      </c>
      <c r="C32" s="44" t="inlineStr">
        <is>
          <t>HUD 갱신</t>
        </is>
      </c>
      <c r="D32" s="38" t="inlineStr">
        <is>
          <t>코인 획득</t>
        </is>
      </c>
      <c r="E32" s="38" t="inlineStr">
        <is>
          <t>골드 증가</t>
        </is>
      </c>
      <c r="F32" s="39" t="inlineStr">
        <is>
          <t>HUD 골드 수치가 즉시 갱신</t>
        </is>
      </c>
      <c r="G32" s="39" t="n"/>
      <c r="H32" s="36" t="inlineStr">
        <is>
          <t>Pass</t>
        </is>
      </c>
      <c r="I32" s="39" t="n"/>
      <c r="J32" s="39" t="n"/>
      <c r="K32" s="39" t="n"/>
      <c r="L32" s="39" t="n"/>
    </row>
    <row r="33" ht="15" customHeight="1" s="31">
      <c r="A33" s="40" t="inlineStr">
        <is>
          <t>TC-030</t>
        </is>
      </c>
      <c r="B33" s="41" t="inlineStr">
        <is>
          <t>상점</t>
        </is>
      </c>
      <c r="C33" s="41" t="inlineStr">
        <is>
          <t>자동 오픈</t>
        </is>
      </c>
      <c r="D33" s="42" t="inlineStr">
        <is>
          <t>웨이브 종료</t>
        </is>
      </c>
      <c r="E33" s="42" t="inlineStr">
        <is>
          <t>종료 시점</t>
        </is>
      </c>
      <c r="F33" s="42" t="inlineStr">
        <is>
          <t>상점 자동으로 열리고 게임 일시정지</t>
        </is>
      </c>
      <c r="G33" s="38" t="inlineStr">
        <is>
          <t>상점에서 F1 배속 버튼을 누르면 일시정지가 풀려 투사체가 계속 이동함</t>
        </is>
      </c>
      <c r="H33" s="36" t="inlineStr">
        <is>
          <t>Fail</t>
        </is>
      </c>
      <c r="I33" s="45" t="inlineStr">
        <is>
          <t>원인: 디버그 배속이 timeScale=0을 덮어씀 / 수정 a93085f</t>
        </is>
      </c>
      <c r="J33" s="39" t="n"/>
      <c r="K33" s="30" t="inlineStr">
        <is>
          <t>SCRUM-5</t>
        </is>
      </c>
      <c r="L33" s="30" t="inlineStr">
        <is>
          <t>Pass</t>
        </is>
      </c>
    </row>
    <row r="34" ht="15" customHeight="1" s="31">
      <c r="A34" s="36" t="inlineStr">
        <is>
          <t>TC-031</t>
        </is>
      </c>
      <c r="B34" s="37" t="inlineStr">
        <is>
          <t>상점</t>
        </is>
      </c>
      <c r="C34" s="37" t="inlineStr">
        <is>
          <t>신규 표시</t>
        </is>
      </c>
      <c r="D34" s="38" t="inlineStr">
        <is>
          <t>안 가진 무기가 카드에 뜸</t>
        </is>
      </c>
      <c r="E34" s="38" t="inlineStr">
        <is>
          <t>카드 확인</t>
        </is>
      </c>
      <c r="F34" s="39" t="inlineStr">
        <is>
          <t>'무기명 Lv1 (신규)'로 표시</t>
        </is>
      </c>
      <c r="G34" s="39" t="n"/>
      <c r="H34" s="36" t="inlineStr">
        <is>
          <t>Pass</t>
        </is>
      </c>
      <c r="I34" s="39" t="n"/>
      <c r="J34" s="39" t="n"/>
      <c r="K34" s="39" t="n"/>
      <c r="L34" s="39" t="n"/>
    </row>
    <row r="35" ht="15" customHeight="1" s="31">
      <c r="A35" s="40" t="inlineStr">
        <is>
          <t>TC-032</t>
        </is>
      </c>
      <c r="B35" s="41" t="inlineStr">
        <is>
          <t>상점</t>
        </is>
      </c>
      <c r="C35" s="41" t="inlineStr">
        <is>
          <t>강화 표시</t>
        </is>
      </c>
      <c r="D35" s="42" t="inlineStr">
        <is>
          <t>보유 무기가 카드에 뜸</t>
        </is>
      </c>
      <c r="E35" s="42" t="inlineStr">
        <is>
          <t>카드 확인</t>
        </is>
      </c>
      <c r="F35" s="43" t="inlineStr">
        <is>
          <t>'무기명 Lv(현재+1) (강화)'로 표시</t>
        </is>
      </c>
      <c r="G35" s="39" t="n"/>
      <c r="H35" s="36" t="inlineStr">
        <is>
          <t>Pass</t>
        </is>
      </c>
      <c r="I35" s="39" t="n"/>
      <c r="J35" s="39" t="n"/>
      <c r="K35" s="39" t="n"/>
      <c r="L35" s="39" t="n"/>
    </row>
    <row r="36" ht="15" customHeight="1" s="31">
      <c r="A36" s="36" t="inlineStr">
        <is>
          <t>TC-033</t>
        </is>
      </c>
      <c r="B36" s="37" t="inlineStr">
        <is>
          <t>상점</t>
        </is>
      </c>
      <c r="C36" s="37" t="inlineStr">
        <is>
          <t>만렙 제외</t>
        </is>
      </c>
      <c r="D36" s="38" t="inlineStr">
        <is>
          <t>특정 무기 Lv5 보유</t>
        </is>
      </c>
      <c r="E36" s="38" t="inlineStr">
        <is>
          <t>상점 여러 번 확인</t>
        </is>
      </c>
      <c r="F36" s="38" t="inlineStr">
        <is>
          <t>해당 무기가 카드에 뜨지 않음</t>
        </is>
      </c>
      <c r="G36" s="39" t="n"/>
      <c r="H36" s="36" t="inlineStr">
        <is>
          <t>Pass</t>
        </is>
      </c>
      <c r="I36" s="39" t="n"/>
      <c r="J36" s="39" t="n"/>
      <c r="K36" s="39" t="n"/>
      <c r="L36" s="39" t="n"/>
    </row>
    <row r="37" ht="15" customHeight="1" s="31">
      <c r="A37" s="40" t="inlineStr">
        <is>
          <t>TC-034</t>
        </is>
      </c>
      <c r="B37" s="41" t="inlineStr">
        <is>
          <t>상점</t>
        </is>
      </c>
      <c r="C37" s="41" t="inlineStr">
        <is>
          <t>무기 구매</t>
        </is>
      </c>
      <c r="D37" s="42" t="inlineStr">
        <is>
          <t>골드 충분·무기 카드</t>
        </is>
      </c>
      <c r="E37" s="42" t="inlineStr">
        <is>
          <t>카드 구매</t>
        </is>
      </c>
      <c r="F37" s="42" t="inlineStr">
        <is>
          <t>무기 장착 또는 레벨업 + 골드 차감</t>
        </is>
      </c>
      <c r="G37" s="39" t="n"/>
      <c r="H37" s="36" t="inlineStr">
        <is>
          <t>Pass</t>
        </is>
      </c>
      <c r="I37" s="39" t="n"/>
      <c r="J37" s="39" t="n"/>
      <c r="K37" s="39" t="n"/>
      <c r="L37" s="39" t="n"/>
    </row>
    <row r="38" ht="15" customHeight="1" s="31">
      <c r="A38" s="36" t="inlineStr">
        <is>
          <t>TC-035</t>
        </is>
      </c>
      <c r="B38" s="37" t="inlineStr">
        <is>
          <t>상점</t>
        </is>
      </c>
      <c r="C38" s="37" t="inlineStr">
        <is>
          <t>골드 부족</t>
        </is>
      </c>
      <c r="D38" s="38" t="inlineStr">
        <is>
          <t>골드 &lt; 가격</t>
        </is>
      </c>
      <c r="E38" s="38" t="inlineStr">
        <is>
          <t>카드 확인</t>
        </is>
      </c>
      <c r="F38" s="38" t="inlineStr">
        <is>
          <t>구매 버튼 비활성(구매 불가)</t>
        </is>
      </c>
      <c r="G38" s="39" t="n"/>
      <c r="H38" s="36" t="inlineStr">
        <is>
          <t>Pass</t>
        </is>
      </c>
      <c r="I38" s="39" t="n"/>
      <c r="J38" s="39" t="n"/>
      <c r="K38" s="39" t="n"/>
      <c r="L38" s="39" t="n"/>
    </row>
    <row r="39" ht="15" customHeight="1" s="31">
      <c r="A39" s="40" t="inlineStr">
        <is>
          <t>TC-036</t>
        </is>
      </c>
      <c r="B39" s="41" t="inlineStr">
        <is>
          <t>상점</t>
        </is>
      </c>
      <c r="C39" s="41" t="inlineStr">
        <is>
          <t>슬롯 만석</t>
        </is>
      </c>
      <c r="D39" s="43" t="inlineStr">
        <is>
          <t>6슬롯 가득 + 신규 무기</t>
        </is>
      </c>
      <c r="E39" s="42" t="inlineStr">
        <is>
          <t>구매 시도</t>
        </is>
      </c>
      <c r="F39" s="42" t="inlineStr">
        <is>
          <t>구매 실패 + 골드 환불</t>
        </is>
      </c>
      <c r="G39" s="39" t="n"/>
      <c r="H39" s="36" t="inlineStr">
        <is>
          <t>Pass</t>
        </is>
      </c>
      <c r="I39" s="39" t="n"/>
      <c r="J39" s="39" t="n"/>
      <c r="K39" s="39" t="n"/>
      <c r="L39" s="39" t="n"/>
    </row>
    <row r="40" ht="15" customHeight="1" s="31">
      <c r="A40" s="36" t="inlineStr">
        <is>
          <t>TC-037</t>
        </is>
      </c>
      <c r="B40" s="37" t="inlineStr">
        <is>
          <t>상점</t>
        </is>
      </c>
      <c r="C40" s="37" t="inlineStr">
        <is>
          <t>만렙 환불</t>
        </is>
      </c>
      <c r="D40" s="38" t="inlineStr">
        <is>
          <t>만렙 무기 카드가 남은 경우</t>
        </is>
      </c>
      <c r="E40" s="38" t="inlineStr">
        <is>
          <t>구매 시도</t>
        </is>
      </c>
      <c r="F40" s="38" t="inlineStr">
        <is>
          <t>구매 실패 + 골드 환불</t>
        </is>
      </c>
      <c r="G40" s="39" t="n"/>
      <c r="H40" s="36" t="inlineStr">
        <is>
          <t>Pass</t>
        </is>
      </c>
      <c r="I40" s="39" t="n"/>
      <c r="J40" s="39" t="inlineStr">
        <is>
          <t>Block(만렙 상태를 수동으로 재현할 수 없어 테스트 불가) → 디버그 콘솔로 재현 수단을 만든 뒤 실행, Pass</t>
        </is>
      </c>
      <c r="K40" s="39" t="n"/>
      <c r="L40" s="39" t="n"/>
    </row>
    <row r="41" ht="15" customHeight="1" s="31">
      <c r="A41" s="40" t="inlineStr">
        <is>
          <t>TC-038</t>
        </is>
      </c>
      <c r="B41" s="41" t="inlineStr">
        <is>
          <t>상점</t>
        </is>
      </c>
      <c r="C41" s="41" t="inlineStr">
        <is>
          <t>아이템 등급색</t>
        </is>
      </c>
      <c r="D41" s="42" t="inlineStr">
        <is>
          <t>아이템 카드 표시</t>
        </is>
      </c>
      <c r="E41" s="42" t="inlineStr">
        <is>
          <t>카드 확인</t>
        </is>
      </c>
      <c r="F41" s="42" t="inlineStr">
        <is>
          <t>등급 테두리색(노말 회색/에픽 보라/유니크 금색)</t>
        </is>
      </c>
      <c r="G41" s="39" t="n"/>
      <c r="H41" s="36" t="inlineStr">
        <is>
          <t>Pass</t>
        </is>
      </c>
      <c r="I41" s="39" t="n"/>
      <c r="J41" s="39" t="n"/>
      <c r="K41" s="39" t="n"/>
      <c r="L41" s="39" t="n"/>
    </row>
    <row r="42" ht="15" customHeight="1" s="31">
      <c r="A42" s="36" t="inlineStr">
        <is>
          <t>TC-039</t>
        </is>
      </c>
      <c r="B42" s="37" t="inlineStr">
        <is>
          <t>상점</t>
        </is>
      </c>
      <c r="C42" s="37" t="inlineStr">
        <is>
          <t>아이템 구매</t>
        </is>
      </c>
      <c r="D42" s="38" t="inlineStr">
        <is>
          <t>아이템 카드·골드 충분</t>
        </is>
      </c>
      <c r="E42" s="38" t="inlineStr">
        <is>
          <t>구매</t>
        </is>
      </c>
      <c r="F42" s="38" t="inlineStr">
        <is>
          <t>스탯 패널 값 증가 + 골드 차감</t>
        </is>
      </c>
      <c r="G42" s="39" t="n"/>
      <c r="H42" s="36" t="inlineStr">
        <is>
          <t>Pass</t>
        </is>
      </c>
      <c r="I42" s="39" t="n"/>
      <c r="J42" s="39" t="n"/>
      <c r="K42" s="39" t="n"/>
      <c r="L42" s="39" t="n"/>
    </row>
    <row r="43" ht="15" customHeight="1" s="31">
      <c r="A43" s="40" t="inlineStr">
        <is>
          <t>TC-040</t>
        </is>
      </c>
      <c r="B43" s="41" t="inlineStr">
        <is>
          <t>상점</t>
        </is>
      </c>
      <c r="C43" s="46" t="inlineStr">
        <is>
          <t>HP 아이템</t>
        </is>
      </c>
      <c r="D43" s="43" t="inlineStr">
        <is>
          <t>HP 아이템 구매</t>
        </is>
      </c>
      <c r="E43" s="42" t="inlineStr">
        <is>
          <t>구매</t>
        </is>
      </c>
      <c r="F43" s="42" t="inlineStr">
        <is>
          <t>최대 HP 증가 + 증가분만큼 현재 HP 회복</t>
        </is>
      </c>
      <c r="G43" s="39" t="n"/>
      <c r="H43" s="36" t="inlineStr">
        <is>
          <t>Pass</t>
        </is>
      </c>
      <c r="I43" s="39" t="n"/>
      <c r="J43" s="39" t="n"/>
      <c r="K43" s="39" t="n"/>
      <c r="L43" s="39" t="n"/>
    </row>
    <row r="44" ht="15" customHeight="1" s="31">
      <c r="A44" s="36" t="inlineStr">
        <is>
          <t>TC-041</t>
        </is>
      </c>
      <c r="B44" s="37" t="inlineStr">
        <is>
          <t>상점</t>
        </is>
      </c>
      <c r="C44" s="37" t="inlineStr">
        <is>
          <t>행운 영향</t>
        </is>
      </c>
      <c r="D44" s="38" t="inlineStr">
        <is>
          <t>행운 아이템 보유</t>
        </is>
      </c>
      <c r="E44" s="38" t="inlineStr">
        <is>
          <t>이후 상점 재방문</t>
        </is>
      </c>
      <c r="F44" s="38" t="inlineStr">
        <is>
          <t>상위 등급 아이템 출현 확률 증가(경향)</t>
        </is>
      </c>
      <c r="G44" s="39" t="n"/>
      <c r="H44" s="36" t="inlineStr">
        <is>
          <t>Pass</t>
        </is>
      </c>
      <c r="I44" s="39" t="n"/>
      <c r="J44" s="39" t="n"/>
      <c r="K44" s="39" t="n"/>
      <c r="L44" s="39" t="n"/>
    </row>
    <row r="45" ht="15" customHeight="1" s="31">
      <c r="A45" s="40" t="inlineStr">
        <is>
          <t>TC-042</t>
        </is>
      </c>
      <c r="B45" s="41" t="inlineStr">
        <is>
          <t>상점</t>
        </is>
      </c>
      <c r="C45" s="41" t="inlineStr">
        <is>
          <t>리롤</t>
        </is>
      </c>
      <c r="D45" s="42" t="inlineStr">
        <is>
          <t>골드 충분</t>
        </is>
      </c>
      <c r="E45" s="43" t="inlineStr">
        <is>
          <t>'돌리기' 클릭</t>
        </is>
      </c>
      <c r="F45" s="42" t="inlineStr">
        <is>
          <t>골드 차감 + 카드 새로 갱신</t>
        </is>
      </c>
      <c r="G45" s="39" t="n"/>
      <c r="H45" s="36" t="inlineStr">
        <is>
          <t>Pass</t>
        </is>
      </c>
      <c r="I45" s="39" t="n"/>
      <c r="J45" s="39" t="n"/>
      <c r="K45" s="39" t="n"/>
      <c r="L45" s="39" t="n"/>
    </row>
    <row r="46" ht="15" customHeight="1" s="31">
      <c r="A46" s="36" t="inlineStr">
        <is>
          <t>TC-043</t>
        </is>
      </c>
      <c r="B46" s="37" t="inlineStr">
        <is>
          <t>상점</t>
        </is>
      </c>
      <c r="C46" s="37" t="inlineStr">
        <is>
          <t>리롤 부족</t>
        </is>
      </c>
      <c r="D46" s="38" t="inlineStr">
        <is>
          <t>골드 &lt; 리롤 비용</t>
        </is>
      </c>
      <c r="E46" s="38" t="inlineStr">
        <is>
          <t>확인</t>
        </is>
      </c>
      <c r="F46" s="38" t="inlineStr">
        <is>
          <t>돌리기 버튼 비활성</t>
        </is>
      </c>
      <c r="G46" s="39" t="n"/>
      <c r="H46" s="36" t="inlineStr">
        <is>
          <t>Pass</t>
        </is>
      </c>
      <c r="I46" s="39" t="n"/>
      <c r="J46" s="39" t="n"/>
      <c r="K46" s="39" t="n"/>
      <c r="L46" s="39" t="n"/>
    </row>
    <row r="47" ht="15" customHeight="1" s="31">
      <c r="A47" s="40" t="inlineStr">
        <is>
          <t>TC-044</t>
        </is>
      </c>
      <c r="B47" s="41" t="inlineStr">
        <is>
          <t>상점</t>
        </is>
      </c>
      <c r="C47" s="41" t="inlineStr">
        <is>
          <t>다음 라운드</t>
        </is>
      </c>
      <c r="D47" s="42" t="inlineStr">
        <is>
          <t>상점 화면</t>
        </is>
      </c>
      <c r="E47" s="43" t="inlineStr">
        <is>
          <t>'다음 라운드' 클릭</t>
        </is>
      </c>
      <c r="F47" s="42" t="inlineStr">
        <is>
          <t>상점 닫힘 + 일시정지 해제 + 웨이브 재개</t>
        </is>
      </c>
      <c r="G47" s="39" t="n"/>
      <c r="H47" s="36" t="inlineStr">
        <is>
          <t>Pass</t>
        </is>
      </c>
      <c r="I47" s="39" t="n"/>
      <c r="J47" s="39" t="n"/>
      <c r="K47" s="39" t="n"/>
      <c r="L47" s="39" t="n"/>
    </row>
    <row r="48" ht="29.25" customHeight="1" s="31">
      <c r="A48" s="36" t="inlineStr">
        <is>
          <t>TC-045</t>
        </is>
      </c>
      <c r="B48" s="37" t="inlineStr">
        <is>
          <t>상점</t>
        </is>
      </c>
      <c r="C48" s="37" t="inlineStr">
        <is>
          <t>카드 UI</t>
        </is>
      </c>
      <c r="D48" s="38" t="inlineStr">
        <is>
          <t>상점 오픈</t>
        </is>
      </c>
      <c r="E48" s="38" t="inlineStr">
        <is>
          <t>카드 확인</t>
        </is>
      </c>
      <c r="F48" s="38" t="inlineStr">
        <is>
          <t>아이콘·이름·레벨(또는 효과)·가격이 리모델 레이아웃으로 표시</t>
        </is>
      </c>
      <c r="G48" s="39" t="n"/>
      <c r="H48" s="36" t="inlineStr">
        <is>
          <t>Pass</t>
        </is>
      </c>
      <c r="I48" s="39" t="n"/>
      <c r="J48" s="39" t="n"/>
      <c r="K48" s="39" t="n"/>
      <c r="L48" s="39" t="n"/>
    </row>
    <row r="49" ht="15" customHeight="1" s="31">
      <c r="A49" s="40" t="inlineStr">
        <is>
          <t>TC-046</t>
        </is>
      </c>
      <c r="B49" s="41" t="inlineStr">
        <is>
          <t>세트</t>
        </is>
      </c>
      <c r="C49" s="41" t="inlineStr">
        <is>
          <t>근접 세트</t>
        </is>
      </c>
      <c r="D49" s="42" t="inlineStr">
        <is>
          <t>근접 무기 2개 장착</t>
        </is>
      </c>
      <c r="E49" s="42" t="inlineStr">
        <is>
          <t>데미지 확인</t>
        </is>
      </c>
      <c r="F49" s="42" t="inlineStr">
        <is>
          <t>근접 무기 데미지 +10%(4개 +20%, 6개 +30%)</t>
        </is>
      </c>
      <c r="G49" s="39" t="n"/>
      <c r="H49" s="36" t="inlineStr">
        <is>
          <t>Pass</t>
        </is>
      </c>
      <c r="I49" s="39" t="n"/>
      <c r="J49" s="39" t="n"/>
      <c r="K49" s="39" t="n"/>
      <c r="L49" s="39" t="n"/>
    </row>
    <row r="50" ht="15" customHeight="1" s="31">
      <c r="A50" s="36" t="inlineStr">
        <is>
          <t>TC-047</t>
        </is>
      </c>
      <c r="B50" s="37" t="inlineStr">
        <is>
          <t>세트</t>
        </is>
      </c>
      <c r="C50" s="37" t="inlineStr">
        <is>
          <t>원거리 세트</t>
        </is>
      </c>
      <c r="D50" s="38" t="inlineStr">
        <is>
          <t>원거리 무기 2개 장착</t>
        </is>
      </c>
      <c r="E50" s="38" t="inlineStr">
        <is>
          <t>데미지 확인</t>
        </is>
      </c>
      <c r="F50" s="38" t="inlineStr">
        <is>
          <t>원거리 무기만 세트 보너스 적용</t>
        </is>
      </c>
      <c r="G50" s="39" t="n"/>
      <c r="H50" s="36" t="inlineStr">
        <is>
          <t>Pass</t>
        </is>
      </c>
      <c r="I50" s="39" t="n"/>
      <c r="J50" s="39" t="n"/>
      <c r="K50" s="39" t="n"/>
      <c r="L50" s="39" t="n"/>
    </row>
    <row r="51" ht="15" customHeight="1" s="31">
      <c r="A51" s="40" t="inlineStr">
        <is>
          <t>TC-048</t>
        </is>
      </c>
      <c r="B51" s="41" t="inlineStr">
        <is>
          <t>세트</t>
        </is>
      </c>
      <c r="C51" s="41" t="inlineStr">
        <is>
          <t>표시</t>
        </is>
      </c>
      <c r="D51" s="42" t="inlineStr">
        <is>
          <t>세트 활성</t>
        </is>
      </c>
      <c r="E51" s="42" t="inlineStr">
        <is>
          <t>상점 스탯 패널 확인</t>
        </is>
      </c>
      <c r="F51" s="43" t="inlineStr">
        <is>
          <t>'근접 세트 +X% (N)' 표시</t>
        </is>
      </c>
      <c r="G51" s="39" t="n"/>
      <c r="H51" s="36" t="inlineStr">
        <is>
          <t>Pass</t>
        </is>
      </c>
      <c r="I51" s="39" t="n"/>
      <c r="J51" s="39" t="n"/>
      <c r="K51" s="39" t="n"/>
      <c r="L51" s="39" t="n"/>
    </row>
    <row r="52" ht="15" customHeight="1" s="31">
      <c r="A52" s="36" t="inlineStr">
        <is>
          <t>TC-049</t>
        </is>
      </c>
      <c r="B52" s="37" t="inlineStr">
        <is>
          <t>세트</t>
        </is>
      </c>
      <c r="C52" s="37" t="inlineStr">
        <is>
          <t>즉시 갱신</t>
        </is>
      </c>
      <c r="D52" s="38" t="inlineStr">
        <is>
          <t>무기 추가/레벨업</t>
        </is>
      </c>
      <c r="E52" s="38" t="inlineStr">
        <is>
          <t>무기 구성 변경</t>
        </is>
      </c>
      <c r="F52" s="38" t="inlineStr">
        <is>
          <t>세트 보너스 즉시 재계산</t>
        </is>
      </c>
      <c r="G52" s="39" t="n"/>
      <c r="H52" s="36" t="inlineStr">
        <is>
          <t>Pass</t>
        </is>
      </c>
      <c r="I52" s="39" t="n"/>
      <c r="J52" s="39" t="n"/>
      <c r="K52" s="39" t="n"/>
      <c r="L52" s="39" t="n"/>
    </row>
    <row r="53" ht="15" customHeight="1" s="31">
      <c r="A53" s="40" t="inlineStr">
        <is>
          <t>TC-050</t>
        </is>
      </c>
      <c r="B53" s="46" t="inlineStr">
        <is>
          <t>HUD</t>
        </is>
      </c>
      <c r="C53" s="41" t="inlineStr">
        <is>
          <t>상단바</t>
        </is>
      </c>
      <c r="D53" s="42" t="inlineStr">
        <is>
          <t>게임 진행</t>
        </is>
      </c>
      <c r="E53" s="42" t="inlineStr">
        <is>
          <t>화면 확인</t>
        </is>
      </c>
      <c r="F53" s="42" t="inlineStr">
        <is>
          <t>라운드/시간/골드가 상단에 표시</t>
        </is>
      </c>
      <c r="G53" s="39" t="n"/>
      <c r="H53" s="36" t="inlineStr">
        <is>
          <t>Pass</t>
        </is>
      </c>
      <c r="I53" s="39" t="n"/>
      <c r="J53" s="39" t="n"/>
      <c r="K53" s="39" t="n"/>
      <c r="L53" s="39" t="n"/>
    </row>
    <row r="54" ht="15" customHeight="1" s="31">
      <c r="A54" s="36" t="inlineStr">
        <is>
          <t>TC-051</t>
        </is>
      </c>
      <c r="B54" s="44" t="inlineStr">
        <is>
          <t>HUD</t>
        </is>
      </c>
      <c r="C54" s="37" t="inlineStr">
        <is>
          <t>무기 바</t>
        </is>
      </c>
      <c r="D54" s="38" t="inlineStr">
        <is>
          <t>무기 장착</t>
        </is>
      </c>
      <c r="E54" s="38" t="inlineStr">
        <is>
          <t>좌하단 확인</t>
        </is>
      </c>
      <c r="F54" s="38" t="inlineStr">
        <is>
          <t>장착 무기 아이콘이 줄로 표시</t>
        </is>
      </c>
      <c r="G54" s="39" t="n"/>
      <c r="H54" s="36" t="inlineStr">
        <is>
          <t>Pass</t>
        </is>
      </c>
      <c r="I54" s="39" t="n"/>
      <c r="J54" s="39" t="inlineStr">
        <is>
          <t>Fail → 아이콘 연결, 재검증 Pass</t>
        </is>
      </c>
      <c r="K54" s="39" t="n"/>
      <c r="L54" s="39" t="n"/>
    </row>
    <row r="55" ht="15" customHeight="1" s="31">
      <c r="A55" s="40" t="inlineStr">
        <is>
          <t>TC-052</t>
        </is>
      </c>
      <c r="B55" s="46" t="inlineStr">
        <is>
          <t>HUD</t>
        </is>
      </c>
      <c r="C55" s="41" t="inlineStr">
        <is>
          <t>레벨 칸</t>
        </is>
      </c>
      <c r="D55" s="42" t="inlineStr">
        <is>
          <t>무기 레벨업</t>
        </is>
      </c>
      <c r="E55" s="42" t="inlineStr">
        <is>
          <t>무기 바 확인</t>
        </is>
      </c>
      <c r="F55" s="42" t="inlineStr">
        <is>
          <t>아이콘 아래 5칸 중 현재 레벨만큼 채워짐</t>
        </is>
      </c>
      <c r="G55" s="39" t="n"/>
      <c r="H55" s="36" t="inlineStr">
        <is>
          <t>Pass</t>
        </is>
      </c>
      <c r="I55" s="39" t="n"/>
      <c r="J55" s="39" t="n"/>
      <c r="K55" s="39" t="n"/>
      <c r="L55" s="39" t="n"/>
    </row>
    <row r="56" ht="15" customHeight="1" s="31">
      <c r="A56" s="36" t="inlineStr">
        <is>
          <t>TC-053</t>
        </is>
      </c>
      <c r="B56" s="37" t="inlineStr">
        <is>
          <t>아이콘</t>
        </is>
      </c>
      <c r="C56" s="37" t="inlineStr">
        <is>
          <t>상점 아이콘</t>
        </is>
      </c>
      <c r="D56" s="38" t="inlineStr">
        <is>
          <t>무기 카드</t>
        </is>
      </c>
      <c r="E56" s="38" t="inlineStr">
        <is>
          <t>카드 확인</t>
        </is>
      </c>
      <c r="F56" s="38" t="inlineStr">
        <is>
          <t>무기 스프라이트가 카드 상단에 표시</t>
        </is>
      </c>
      <c r="G56" s="39" t="n"/>
      <c r="H56" s="36" t="inlineStr">
        <is>
          <t>Pass</t>
        </is>
      </c>
      <c r="I56" s="39" t="n"/>
      <c r="J56" s="39" t="inlineStr">
        <is>
          <t>Fail → ShopCatalog 단일 출처화, 재검증 Pass</t>
        </is>
      </c>
      <c r="K56" s="39" t="n"/>
      <c r="L56" s="39" t="n"/>
    </row>
    <row r="57" ht="29.25" customHeight="1" s="31">
      <c r="A57" s="40" t="inlineStr">
        <is>
          <t>TC-054</t>
        </is>
      </c>
      <c r="B57" s="41" t="inlineStr">
        <is>
          <t>아이콘</t>
        </is>
      </c>
      <c r="C57" s="46" t="inlineStr">
        <is>
          <t>HUD 아이콘</t>
        </is>
      </c>
      <c r="D57" s="42" t="inlineStr">
        <is>
          <t>무기 장착</t>
        </is>
      </c>
      <c r="E57" s="42" t="inlineStr">
        <is>
          <t>무기 바 확인</t>
        </is>
      </c>
      <c r="F57" s="42" t="inlineStr">
        <is>
          <t>무기 아이콘 표시(아이템 아이콘 없으면 빈 프레임=정상)</t>
        </is>
      </c>
      <c r="G57" s="39" t="n"/>
      <c r="H57" s="36" t="inlineStr">
        <is>
          <t>Pass</t>
        </is>
      </c>
      <c r="I57" s="39" t="n"/>
      <c r="J57" s="39" t="n"/>
      <c r="K57" s="39" t="n"/>
      <c r="L57" s="39" t="n"/>
    </row>
    <row r="58" ht="15" customHeight="1" s="31">
      <c r="A58" s="36" t="inlineStr">
        <is>
          <t>TC-055</t>
        </is>
      </c>
      <c r="B58" s="37" t="inlineStr">
        <is>
          <t>무기</t>
        </is>
      </c>
      <c r="C58" s="37" t="inlineStr">
        <is>
          <t>최대 레벨</t>
        </is>
      </c>
      <c r="D58" s="38" t="inlineStr">
        <is>
          <t>같은 무기 반복 구매</t>
        </is>
      </c>
      <c r="E58" s="39" t="inlineStr">
        <is>
          <t>Lv5 도달</t>
        </is>
      </c>
      <c r="F58" s="39" t="inlineStr">
        <is>
          <t>Lv5에서 레벨 정지(더 이상 안 오름)</t>
        </is>
      </c>
      <c r="G58" s="39" t="n"/>
      <c r="H58" s="36" t="inlineStr">
        <is>
          <t>Pass</t>
        </is>
      </c>
      <c r="I58" s="39" t="n"/>
      <c r="J58" s="39" t="n"/>
      <c r="K58" s="39" t="n"/>
      <c r="L58" s="39" t="n"/>
    </row>
    <row r="59" ht="15" customHeight="1" s="31">
      <c r="A59" s="36" t="inlineStr">
        <is>
          <t>TC-056</t>
        </is>
      </c>
      <c r="B59" s="37" t="inlineStr">
        <is>
          <t>탐색</t>
        </is>
      </c>
      <c r="C59" s="37" t="inlineStr">
        <is>
          <t>상점 전용 무기</t>
        </is>
      </c>
      <c r="D59" s="38" t="inlineStr">
        <is>
          <t>로비 밖 무기 4종 중 1종이 상점에 뜸</t>
        </is>
      </c>
      <c r="E59" s="38" t="inlineStr">
        <is>
          <t>구매 후 레벨업까지 진행</t>
        </is>
      </c>
      <c r="F59" s="38" t="inlineStr">
        <is>
          <t>장착·레벨업·세트 분류·HUD 아이콘이 로비 무기와 동일하게 정상</t>
        </is>
      </c>
      <c r="G59" s="39" t="n"/>
      <c r="H59" s="36" t="inlineStr">
        <is>
          <t>Pass</t>
        </is>
      </c>
      <c r="I59" s="39" t="n"/>
      <c r="J59" s="39" t="n"/>
      <c r="K59" s="39" t="n"/>
      <c r="L59" s="39" t="n"/>
    </row>
    <row r="60" ht="15" customHeight="1" s="31">
      <c r="A60" s="36" t="inlineStr">
        <is>
          <t>TC-057</t>
        </is>
      </c>
      <c r="B60" s="37" t="inlineStr">
        <is>
          <t>탐색</t>
        </is>
      </c>
      <c r="C60" s="37" t="inlineStr">
        <is>
          <t>골드 경계(같음)</t>
        </is>
      </c>
      <c r="D60" s="38" t="inlineStr">
        <is>
          <t>골드 = 카드 가격</t>
        </is>
      </c>
      <c r="E60" s="38" t="inlineStr">
        <is>
          <t>구매</t>
        </is>
      </c>
      <c r="F60" s="38" t="inlineStr">
        <is>
          <t>구매 성공, 골드 0, 음수 표시 없음</t>
        </is>
      </c>
      <c r="G60" s="39" t="n"/>
      <c r="H60" s="36" t="inlineStr">
        <is>
          <t>Pass</t>
        </is>
      </c>
      <c r="I60" s="39" t="n"/>
      <c r="J60" s="39" t="n"/>
      <c r="K60" s="39" t="n"/>
      <c r="L60" s="39" t="n"/>
    </row>
    <row r="61" ht="15" customHeight="1" s="31">
      <c r="A61" s="36" t="inlineStr">
        <is>
          <t>TC-058</t>
        </is>
      </c>
      <c r="B61" s="37" t="inlineStr">
        <is>
          <t>탐색</t>
        </is>
      </c>
      <c r="C61" s="37" t="inlineStr">
        <is>
          <t>골드 경계(1 부족)</t>
        </is>
      </c>
      <c r="D61" s="38" t="inlineStr">
        <is>
          <t>골드 = 가격 - 1</t>
        </is>
      </c>
      <c r="E61" s="38" t="inlineStr">
        <is>
          <t>카드 확인 및 구매 시도</t>
        </is>
      </c>
      <c r="F61" s="38" t="inlineStr">
        <is>
          <t>구매 버튼 비활성, 골드 변화 없음</t>
        </is>
      </c>
      <c r="G61" s="39" t="n"/>
      <c r="H61" s="36" t="inlineStr">
        <is>
          <t>Pass</t>
        </is>
      </c>
      <c r="I61" s="39" t="n"/>
      <c r="J61" s="39" t="n"/>
      <c r="K61" s="39" t="n"/>
      <c r="L61" s="39" t="n"/>
    </row>
    <row r="62" ht="15" customHeight="1" s="31">
      <c r="A62" s="36" t="inlineStr">
        <is>
          <t>TC-059</t>
        </is>
      </c>
      <c r="B62" s="37" t="inlineStr">
        <is>
          <t>탐색</t>
        </is>
      </c>
      <c r="C62" s="37" t="inlineStr">
        <is>
          <t>리롤 경계</t>
        </is>
      </c>
      <c r="D62" s="38" t="inlineStr">
        <is>
          <t>골드 = 리롤 비용</t>
        </is>
      </c>
      <c r="E62" s="38" t="inlineStr">
        <is>
          <t>돌리기 클릭</t>
        </is>
      </c>
      <c r="F62" s="38" t="inlineStr">
        <is>
          <t>리롤 성공, 골드 0, 이후 돌리기 비활성</t>
        </is>
      </c>
      <c r="G62" s="39" t="n"/>
      <c r="H62" s="36" t="inlineStr">
        <is>
          <t>Pass</t>
        </is>
      </c>
      <c r="I62" s="39" t="n"/>
      <c r="J62" s="39" t="n"/>
      <c r="K62" s="39" t="n"/>
      <c r="L62" s="39" t="n"/>
    </row>
    <row r="63" ht="15" customHeight="1" s="31">
      <c r="A63" s="36" t="inlineStr">
        <is>
          <t>TC-060</t>
        </is>
      </c>
      <c r="B63" s="37" t="inlineStr">
        <is>
          <t>탐색</t>
        </is>
      </c>
      <c r="C63" s="37" t="inlineStr">
        <is>
          <t>구매 연타</t>
        </is>
      </c>
      <c r="D63" s="38" t="inlineStr">
        <is>
          <t>골드 충분·카드 1장</t>
        </is>
      </c>
      <c r="E63" s="38" t="inlineStr">
        <is>
          <t>구매 버튼을 빠르게 여러 번 클릭</t>
        </is>
      </c>
      <c r="F63" s="39" t="inlineStr">
        <is>
          <t>1회만 구매되고 골드도 1회만 차감</t>
        </is>
      </c>
      <c r="G63" s="39" t="n"/>
      <c r="H63" s="36" t="inlineStr">
        <is>
          <t>Pass</t>
        </is>
      </c>
      <c r="I63" s="39" t="n"/>
      <c r="J63" s="39" t="n"/>
      <c r="K63" s="39" t="n"/>
      <c r="L63" s="39" t="n"/>
    </row>
    <row r="64" ht="15" customHeight="1" s="31">
      <c r="A64" s="36" t="inlineStr">
        <is>
          <t>TC-061</t>
        </is>
      </c>
      <c r="B64" s="37" t="inlineStr">
        <is>
          <t>탐색</t>
        </is>
      </c>
      <c r="C64" s="37" t="inlineStr">
        <is>
          <t>시작 연타</t>
        </is>
      </c>
      <c r="D64" s="38" t="inlineStr">
        <is>
          <t>로비 화면</t>
        </is>
      </c>
      <c r="E64" s="38" t="inlineStr">
        <is>
          <t>게임 시작 버튼을 빠르게 여러 번 클릭</t>
        </is>
      </c>
      <c r="F64" s="38" t="inlineStr">
        <is>
          <t>게임 씬이 1번만 로드됨(중복 로드·에러 없음)</t>
        </is>
      </c>
      <c r="G64" s="39" t="n"/>
      <c r="H64" s="36" t="inlineStr">
        <is>
          <t>Pass</t>
        </is>
      </c>
      <c r="I64" s="39" t="n"/>
      <c r="J64" s="39" t="n"/>
      <c r="K64" s="39" t="n"/>
      <c r="L64" s="39" t="n"/>
    </row>
    <row r="65" ht="15" customHeight="1" s="31">
      <c r="A65" s="36" t="inlineStr">
        <is>
          <t>TC-062</t>
        </is>
      </c>
      <c r="B65" s="37" t="inlineStr">
        <is>
          <t>탐색</t>
        </is>
      </c>
      <c r="C65" s="37" t="inlineStr">
        <is>
          <t>웨이브 종료 순간 사망</t>
        </is>
      </c>
      <c r="D65" s="38" t="inlineStr">
        <is>
          <t>웨이브 종료 직전, HP 낮음</t>
        </is>
      </c>
      <c r="E65" s="38" t="inlineStr">
        <is>
          <t>타이머 0과 동시에 HP 0이 되도록 피격</t>
        </is>
      </c>
      <c r="F65" s="38" t="inlineStr">
        <is>
          <t>게임오버와 상점이 동시에 뜨지 않음 (우선순위는 기획 확인 필요)</t>
        </is>
      </c>
      <c r="G65" s="38" t="inlineStr">
        <is>
          <t>상점 위에 게임오버 창이 겹쳐 표시됨. 상점 버튼은 안 눌리고 다시 시작/로비로만 동작</t>
        </is>
      </c>
      <c r="H65" s="36" t="inlineStr">
        <is>
          <t>Fail</t>
        </is>
      </c>
      <c r="I65" s="45" t="inlineStr">
        <is>
          <t>원인: 사망(물리)과 타이머 종료(Update)가 같은 프레임 / 수정 a93085f / F1 "웨이브 종료 + 즉사 동시"로 재현</t>
        </is>
      </c>
      <c r="J65" s="39" t="n"/>
      <c r="K65" s="30" t="inlineStr">
        <is>
          <t>SCRUM-6</t>
        </is>
      </c>
      <c r="L65" s="30" t="inlineStr">
        <is>
          <t>Pass</t>
        </is>
      </c>
    </row>
    <row r="66" ht="15" customHeight="1" s="31">
      <c r="A66" s="36" t="inlineStr">
        <is>
          <t>TC-063</t>
        </is>
      </c>
      <c r="B66" s="37" t="inlineStr">
        <is>
          <t>탐색</t>
        </is>
      </c>
      <c r="C66" s="37" t="inlineStr">
        <is>
          <t>보스 처치 순간 피격</t>
        </is>
      </c>
      <c r="D66" s="38" t="inlineStr">
        <is>
          <t>보스 HP 낮음, 플레이어 HP 낮음</t>
        </is>
      </c>
      <c r="E66" s="38" t="inlineStr">
        <is>
          <t>보스 처치와 동시에 피격</t>
        </is>
      </c>
      <c r="F66" s="38" t="inlineStr">
        <is>
          <t>보상·게임오버 처리가 한 번만 일어나고 멈춤 없음</t>
        </is>
      </c>
      <c r="G66" s="39" t="n"/>
      <c r="H66" s="36" t="inlineStr">
        <is>
          <t>Pass</t>
        </is>
      </c>
      <c r="I66" s="39" t="n"/>
      <c r="J66" s="39" t="n"/>
      <c r="K66" s="39" t="n"/>
      <c r="L66" s="39" t="n"/>
    </row>
    <row r="67" ht="15" customHeight="1" s="31">
      <c r="A67" s="36" t="inlineStr">
        <is>
          <t>TC-064</t>
        </is>
      </c>
      <c r="B67" s="37" t="inlineStr">
        <is>
          <t>탐색</t>
        </is>
      </c>
      <c r="C67" s="37" t="inlineStr">
        <is>
          <t>재시작 상태 초기화</t>
        </is>
      </c>
      <c r="D67" s="38" t="inlineStr">
        <is>
          <t>게임오버 후 로비 복귀</t>
        </is>
      </c>
      <c r="E67" s="38" t="inlineStr">
        <is>
          <t>다른 무기 선택 후 시작</t>
        </is>
      </c>
      <c r="F67" s="38" t="inlineStr">
        <is>
          <t>골드·무기·스탯·스테이지가 모두 초기값, 이전 판 무기 없음</t>
        </is>
      </c>
      <c r="G67" s="39" t="n"/>
      <c r="H67" s="36" t="inlineStr">
        <is>
          <t>Pass</t>
        </is>
      </c>
      <c r="I67" s="39" t="n"/>
      <c r="J67" s="39" t="n"/>
      <c r="K67" s="39" t="n"/>
      <c r="L67" s="39" t="n"/>
    </row>
    <row r="68" ht="15" customHeight="1" s="31">
      <c r="A68" s="36" t="inlineStr">
        <is>
          <t>TC-065</t>
        </is>
      </c>
      <c r="B68" s="37" t="inlineStr">
        <is>
          <t>탐색</t>
        </is>
      </c>
      <c r="C68" s="37" t="inlineStr">
        <is>
          <t>상점 중 일시정지</t>
        </is>
      </c>
      <c r="D68" s="38" t="inlineStr">
        <is>
          <t>상점 열림</t>
        </is>
      </c>
      <c r="E68" s="38" t="inlineStr">
        <is>
          <t>상점에서 10초 이상 대기 후 다음 라운드</t>
        </is>
      </c>
      <c r="F68" s="38" t="inlineStr">
        <is>
          <t>대기 중 웨이브 타이머·몬스터·코인이 멈춰 있음</t>
        </is>
      </c>
      <c r="G68" s="39" t="n"/>
      <c r="H68" s="36" t="inlineStr">
        <is>
          <t>Pass</t>
        </is>
      </c>
      <c r="I68" s="39" t="n"/>
      <c r="J68" s="39" t="n"/>
      <c r="K68" s="39" t="n"/>
      <c r="L68" s="39" t="n"/>
    </row>
    <row r="69" ht="15" customHeight="1" s="31">
      <c r="A69" s="36" t="inlineStr">
        <is>
          <t>TC-066</t>
        </is>
      </c>
      <c r="B69" s="37" t="inlineStr">
        <is>
          <t>보스</t>
        </is>
      </c>
      <c r="C69" s="37" t="inlineStr">
        <is>
          <t>보스 라운드 제한시간</t>
        </is>
      </c>
      <c r="D69" s="38" t="inlineStr">
        <is>
          <t>일반 스테이지 진행 중</t>
        </is>
      </c>
      <c r="E69" s="38" t="inlineStr">
        <is>
          <t>F1 → 보스 스테이지로 점프</t>
        </is>
      </c>
      <c r="F69" s="38" t="inlineStr">
        <is>
          <t>시작 시간이 30초(기본 20초 + 10초)로 표시</t>
        </is>
      </c>
      <c r="G69" s="39" t="n"/>
      <c r="H69" s="36" t="inlineStr">
        <is>
          <t>Pass</t>
        </is>
      </c>
      <c r="I69" s="38" t="inlineStr">
        <is>
          <t>신규 사양(SCRUM-7)</t>
        </is>
      </c>
      <c r="J69" s="39" t="n"/>
      <c r="K69" s="39" t="inlineStr">
        <is>
          <t>SCRUM-7</t>
        </is>
      </c>
      <c r="L69" s="39" t="n"/>
    </row>
    <row r="70" ht="15" customHeight="1" s="31">
      <c r="A70" s="36" t="inlineStr">
        <is>
          <t>TC-067</t>
        </is>
      </c>
      <c r="B70" s="37" t="inlineStr">
        <is>
          <t>보스</t>
        </is>
      </c>
      <c r="C70" s="37" t="inlineStr">
        <is>
          <t>일반 라운드 시간 유지</t>
        </is>
      </c>
      <c r="D70" s="38" t="inlineStr">
        <is>
          <t>보스 라운드가 아닌 스테이지(예: 4, 6)</t>
        </is>
      </c>
      <c r="E70" s="38" t="inlineStr">
        <is>
          <t>웨이브 시작 시간 확인</t>
        </is>
      </c>
      <c r="F70" s="38" t="inlineStr">
        <is>
          <t>20초로 시작(보너스 시간 없음)</t>
        </is>
      </c>
      <c r="G70" s="39" t="n"/>
      <c r="H70" s="36" t="inlineStr">
        <is>
          <t>Pass</t>
        </is>
      </c>
      <c r="I70" s="38" t="inlineStr">
        <is>
          <t>신규 사양(SCRUM-7)</t>
        </is>
      </c>
      <c r="J70" s="39" t="n"/>
      <c r="K70" s="39" t="inlineStr">
        <is>
          <t>SCRUM-7</t>
        </is>
      </c>
      <c r="L70" s="39" t="n"/>
    </row>
    <row r="71" ht="15" customHeight="1" s="31">
      <c r="A71" s="36" t="inlineStr">
        <is>
          <t>TC-068</t>
        </is>
      </c>
      <c r="B71" s="37" t="inlineStr">
        <is>
          <t>보스</t>
        </is>
      </c>
      <c r="C71" s="37" t="inlineStr">
        <is>
          <t>처치 시 카운트다운</t>
        </is>
      </c>
      <c r="D71" s="38" t="inlineStr">
        <is>
          <t>보스 라운드, 남은 시간 3초 이상</t>
        </is>
      </c>
      <c r="E71" s="38" t="inlineStr">
        <is>
          <t>보스 처치</t>
        </is>
      </c>
      <c r="F71" s="38" t="inlineStr">
        <is>
          <t>남은 시간이 3으로 바뀌고 3·2·1 표시 후 상점 열림</t>
        </is>
      </c>
      <c r="G71" s="39" t="n"/>
      <c r="H71" s="36" t="inlineStr">
        <is>
          <t>Pass</t>
        </is>
      </c>
      <c r="I71" s="38" t="inlineStr">
        <is>
          <t>신규 사양(SCRUM-7)</t>
        </is>
      </c>
      <c r="J71" s="39" t="n"/>
      <c r="K71" s="39" t="inlineStr">
        <is>
          <t>SCRUM-7</t>
        </is>
      </c>
      <c r="L71" s="39" t="n"/>
    </row>
    <row r="72" ht="15" customHeight="1" s="31">
      <c r="A72" s="36" t="inlineStr">
        <is>
          <t>TC-069</t>
        </is>
      </c>
      <c r="B72" s="37" t="inlineStr">
        <is>
          <t>보스</t>
        </is>
      </c>
      <c r="C72" s="37" t="inlineStr">
        <is>
          <t>처치 시 잡몹 정리</t>
        </is>
      </c>
      <c r="D72" s="38" t="inlineStr">
        <is>
          <t>보스 라운드, 잡몹 존재</t>
        </is>
      </c>
      <c r="E72" s="38" t="inlineStr">
        <is>
          <t>보스 처치</t>
        </is>
      </c>
      <c r="F72" s="38" t="inlineStr">
        <is>
          <t>잡몹이 즉시 사라지고 카운트다운 중 새로 스폰되지 않음</t>
        </is>
      </c>
      <c r="G72" s="39" t="n"/>
      <c r="H72" s="36" t="inlineStr">
        <is>
          <t>Pass</t>
        </is>
      </c>
      <c r="I72" s="38" t="inlineStr">
        <is>
          <t>신규 사양(SCRUM-7)</t>
        </is>
      </c>
      <c r="J72" s="39" t="n"/>
      <c r="K72" s="39" t="inlineStr">
        <is>
          <t>SCRUM-7</t>
        </is>
      </c>
      <c r="L72" s="39" t="n"/>
    </row>
    <row r="73" ht="15" customHeight="1" s="31">
      <c r="A73" s="36" t="inlineStr">
        <is>
          <t>TC-070</t>
        </is>
      </c>
      <c r="B73" s="37" t="inlineStr">
        <is>
          <t>보스</t>
        </is>
      </c>
      <c r="C73" s="37" t="inlineStr">
        <is>
          <t>처치 코인 회수</t>
        </is>
      </c>
      <c r="D73" s="38" t="inlineStr">
        <is>
          <t>보스 라운드, 화면에 코인 흩어짐</t>
        </is>
      </c>
      <c r="E73" s="38" t="inlineStr">
        <is>
          <t>보스 처치 후 카운트다운 대기</t>
        </is>
      </c>
      <c r="F73" s="38" t="inlineStr">
        <is>
          <t>화면의 코인이 거리와 무관하게 전부 회수되고 상점 골드에 반영</t>
        </is>
      </c>
      <c r="G73" s="39" t="n"/>
      <c r="H73" s="36" t="inlineStr">
        <is>
          <t>Pass</t>
        </is>
      </c>
      <c r="I73" s="38" t="inlineStr">
        <is>
          <t>신규 사양(SCRUM-7)</t>
        </is>
      </c>
      <c r="J73" s="39" t="n"/>
      <c r="K73" s="39" t="inlineStr">
        <is>
          <t>SCRUM-7</t>
        </is>
      </c>
      <c r="L73" s="39" t="n"/>
    </row>
    <row r="74" ht="15" customHeight="1" s="31">
      <c r="A74" s="36" t="inlineStr">
        <is>
          <t>TC-071</t>
        </is>
      </c>
      <c r="B74" s="37" t="inlineStr">
        <is>
          <t>보스</t>
        </is>
      </c>
      <c r="C74" s="37" t="inlineStr">
        <is>
          <t>3초 미만 처치</t>
        </is>
      </c>
      <c r="D74" s="38" t="inlineStr">
        <is>
          <t>보스 라운드, 남은 시간 3초 미만</t>
        </is>
      </c>
      <c r="E74" s="38" t="inlineStr">
        <is>
          <t>남은 시간 1~2초에 보스 처치</t>
        </is>
      </c>
      <c r="F74" s="38" t="inlineStr">
        <is>
          <t>남은 시간이 3초 미만이어도 3초로 맞춰져 3·2·1 후 상점 열림</t>
        </is>
      </c>
      <c r="G74" s="39" t="inlineStr">
        <is>
          <t>1~2초 남았을 때 처치 → 3초로 늘지 않고 남은 시간부터 카운트다운</t>
        </is>
      </c>
      <c r="H74" s="36" t="inlineStr">
        <is>
          <t>Fail</t>
        </is>
      </c>
      <c r="I74" s="38" t="inlineStr">
        <is>
          <t>기대 결과를 구현 기준으로 잘못 적었음 → 사양(항상 3초) 확인 후 정정 / 수정 0a12019</t>
        </is>
      </c>
      <c r="J74" s="39" t="n"/>
      <c r="K74" s="39" t="inlineStr">
        <is>
          <t>SCRUM-7</t>
        </is>
      </c>
      <c r="L74" s="39" t="inlineStr">
        <is>
          <t>Pass</t>
        </is>
      </c>
    </row>
    <row r="75" ht="15" customHeight="1" s="31">
      <c r="A75" s="36" t="inlineStr">
        <is>
          <t>TC-072</t>
        </is>
      </c>
      <c r="B75" s="37" t="inlineStr">
        <is>
          <t>보스</t>
        </is>
      </c>
      <c r="C75" s="37" t="inlineStr">
        <is>
          <t>보스 실패 게임오버</t>
        </is>
      </c>
      <c r="D75" s="38" t="inlineStr">
        <is>
          <t>보스 라운드, 보스 생존</t>
        </is>
      </c>
      <c r="E75" s="38" t="inlineStr">
        <is>
          <t>F1 → 남은 시간 3초로 → 시간 종료까지 대기</t>
        </is>
      </c>
      <c r="F75" s="38" t="inlineStr">
        <is>
          <t>게임오버 창 + "보스를 처치하지 못했습니다" 표시, 상점 안 열림</t>
        </is>
      </c>
      <c r="G75" s="39" t="n"/>
      <c r="H75" s="36" t="inlineStr">
        <is>
          <t>Pass</t>
        </is>
      </c>
      <c r="I75" s="38" t="inlineStr">
        <is>
          <t>신규 사양(SCRUM-7)</t>
        </is>
      </c>
      <c r="J75" s="39" t="n"/>
      <c r="K75" s="39" t="inlineStr">
        <is>
          <t>SCRUM-7</t>
        </is>
      </c>
      <c r="L75" s="39" t="n"/>
    </row>
    <row r="76" ht="15" customHeight="1" s="31">
      <c r="A76" s="36" t="inlineStr">
        <is>
          <t>TC-073</t>
        </is>
      </c>
      <c r="B76" s="37" t="inlineStr">
        <is>
          <t>보스</t>
        </is>
      </c>
      <c r="C76" s="37" t="inlineStr">
        <is>
          <t>사망 시 사유 숨김</t>
        </is>
      </c>
      <c r="D76" s="38" t="inlineStr">
        <is>
          <t>아무 라운드</t>
        </is>
      </c>
      <c r="E76" s="38" t="inlineStr">
        <is>
          <t>F1 → 즉사</t>
        </is>
      </c>
      <c r="F76" s="38" t="inlineStr">
        <is>
          <t>게임오버 창에 사유 줄이 표시되지 않음</t>
        </is>
      </c>
      <c r="G76" s="39" t="n"/>
      <c r="H76" s="36" t="inlineStr">
        <is>
          <t>Pass</t>
        </is>
      </c>
      <c r="I76" s="38" t="inlineStr">
        <is>
          <t>신규 사양(SCRUM-7)</t>
        </is>
      </c>
      <c r="J76" s="39" t="n"/>
      <c r="K76" s="39" t="inlineStr">
        <is>
          <t>SCRUM-7</t>
        </is>
      </c>
      <c r="L76" s="39" t="n"/>
    </row>
    <row r="77" ht="15" customHeight="1" s="31">
      <c r="A77" s="36" t="inlineStr">
        <is>
          <t>TC-074</t>
        </is>
      </c>
      <c r="B77" s="37" t="inlineStr">
        <is>
          <t>보스</t>
        </is>
      </c>
      <c r="C77" s="37" t="inlineStr">
        <is>
          <t>카운트다운 중 사망</t>
        </is>
      </c>
      <c r="D77" s="38" t="inlineStr">
        <is>
          <t>보스 처치 후 카운트다운 중</t>
        </is>
      </c>
      <c r="E77" s="38" t="inlineStr">
        <is>
          <t>카운트다운 중 즉사(F1)</t>
        </is>
      </c>
      <c r="F77" s="38" t="inlineStr">
        <is>
          <t>게임오버 창만 표시되고 상점 안 열림</t>
        </is>
      </c>
      <c r="G77" s="39" t="n"/>
      <c r="H77" s="36" t="inlineStr">
        <is>
          <t>Pass</t>
        </is>
      </c>
      <c r="I77" s="38" t="inlineStr">
        <is>
          <t>신규 사양(SCRUM-7)</t>
        </is>
      </c>
      <c r="J77" s="39" t="n"/>
      <c r="K77" s="39" t="inlineStr">
        <is>
          <t>SCRUM-7</t>
        </is>
      </c>
      <c r="L77" s="39" t="n"/>
    </row>
    <row r="78" s="31"/>
  </sheetData>
  <mergeCells count="2">
    <mergeCell ref="A2:L2"/>
    <mergeCell ref="A1:L1"/>
  </mergeCells>
  <dataValidations count="2">
    <dataValidation sqref="H4:H77" showDropDown="0" showInputMessage="0" showErrorMessage="0" allowBlank="1" type="list" errorStyle="stop" operator="between">
      <formula1>"Pass,Fail,N/A,보류"</formula1>
      <formula2>0</formula2>
    </dataValidation>
    <dataValidation sqref="L4:L77" showDropDown="0" showInputMessage="0" showErrorMessage="0" allowBlank="1" type="list" errorStyle="stop" operator="between">
      <formula1>"Pass,Fail"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8" customWidth="1" style="30" min="1" max="1"/>
    <col width="12" customWidth="1" style="30" min="2" max="2"/>
    <col width="12" customWidth="1" style="30" min="4" max="4"/>
    <col width="8" customWidth="1" style="30" min="5" max="5"/>
  </cols>
  <sheetData>
    <row r="1" ht="19.5" customHeight="1" s="31">
      <c r="A1" s="47" t="inlineStr">
        <is>
          <t>테스트 요약</t>
        </is>
      </c>
      <c r="D1" s="48" t="inlineStr">
        <is>
          <t>대분류별 케이스 수</t>
        </is>
      </c>
    </row>
    <row r="2" ht="15" customHeight="1" s="31">
      <c r="D2" s="49" t="inlineStr">
        <is>
          <t>대분류</t>
        </is>
      </c>
      <c r="E2" s="49" t="inlineStr">
        <is>
          <t>개수</t>
        </is>
      </c>
    </row>
    <row r="3" ht="15" customHeight="1" s="31">
      <c r="A3" s="49" t="inlineStr">
        <is>
          <t>전체 케이스</t>
        </is>
      </c>
      <c r="B3" s="50">
        <f>COUNTA('테스트 케이스'!A4:A77)</f>
        <v/>
      </c>
      <c r="D3" s="51" t="inlineStr">
        <is>
          <t>로비</t>
        </is>
      </c>
      <c r="E3" s="51">
        <f>COUNTIF('테스트 케이스'!B4:B77,D3)</f>
        <v/>
      </c>
    </row>
    <row r="4" ht="15" customHeight="1" s="31">
      <c r="A4" s="52" t="inlineStr">
        <is>
          <t>Pass</t>
        </is>
      </c>
      <c r="B4" s="53">
        <f>COUNTIF('테스트 케이스'!H4:H77,"Pass")</f>
        <v/>
      </c>
      <c r="D4" s="51" t="inlineStr">
        <is>
          <t>이동</t>
        </is>
      </c>
      <c r="E4" s="51">
        <f>COUNTIF('테스트 케이스'!B4:B77,D4)</f>
        <v/>
      </c>
    </row>
    <row r="5" ht="15" customHeight="1" s="31">
      <c r="A5" s="52" t="inlineStr">
        <is>
          <t>Fail</t>
        </is>
      </c>
      <c r="B5" s="53">
        <f>COUNTIF('테스트 케이스'!H4:H77,"Fail")</f>
        <v/>
      </c>
      <c r="D5" s="51" t="inlineStr">
        <is>
          <t>전투</t>
        </is>
      </c>
      <c r="E5" s="51">
        <f>COUNTIF('테스트 케이스'!B4:B77,D5)</f>
        <v/>
      </c>
    </row>
    <row r="6" ht="15" customHeight="1" s="31">
      <c r="A6" s="52" t="inlineStr">
        <is>
          <t>N/A</t>
        </is>
      </c>
      <c r="B6" s="53">
        <f>COUNTIF('테스트 케이스'!H4:H77,"N/A")</f>
        <v/>
      </c>
      <c r="D6" s="51" t="inlineStr">
        <is>
          <t>몬스터</t>
        </is>
      </c>
      <c r="E6" s="51">
        <f>COUNTIF('테스트 케이스'!B4:B77,D6)</f>
        <v/>
      </c>
    </row>
    <row r="7" ht="15" customHeight="1" s="31">
      <c r="A7" s="54" t="inlineStr">
        <is>
          <t>보류</t>
        </is>
      </c>
      <c r="B7" s="53">
        <f>COUNTIF('테스트 케이스'!H4:H77,"보류")</f>
        <v/>
      </c>
      <c r="D7" s="51" t="inlineStr">
        <is>
          <t>보스</t>
        </is>
      </c>
      <c r="E7" s="51">
        <f>COUNTIF('테스트 케이스'!B4:B77,D7)</f>
        <v/>
      </c>
    </row>
    <row r="8" ht="15" customHeight="1" s="31">
      <c r="A8" s="54" t="inlineStr">
        <is>
          <t>미실행</t>
        </is>
      </c>
      <c r="B8" s="53">
        <f>COUNTA('테스트 케이스'!A4:A77)-COUNTA('테스트 케이스'!H4:H77)</f>
        <v/>
      </c>
      <c r="D8" s="51" t="inlineStr">
        <is>
          <t>웨이브</t>
        </is>
      </c>
      <c r="E8" s="51">
        <f>COUNTIF('테스트 케이스'!B4:B77,D8)</f>
        <v/>
      </c>
    </row>
    <row r="9" ht="15" customHeight="1" s="31">
      <c r="D9" s="51" t="inlineStr">
        <is>
          <t>스테이지</t>
        </is>
      </c>
      <c r="E9" s="51">
        <f>COUNTIF('테스트 케이스'!B4:B77,D9)</f>
        <v/>
      </c>
    </row>
    <row r="10" ht="15" customHeight="1" s="31">
      <c r="D10" s="55" t="inlineStr">
        <is>
          <t>HP</t>
        </is>
      </c>
      <c r="E10" s="55">
        <f>COUNTIF('테스트 케이스'!B4:B77,D10)</f>
        <v/>
      </c>
    </row>
    <row r="11" ht="16.5" customHeight="1" s="31">
      <c r="A11" s="54" t="inlineStr">
        <is>
          <t>성공률 Pass÷(전체−N/A)</t>
        </is>
      </c>
      <c r="B11" s="56">
        <f>IF(B3-B6=0,0,B4/(B3-B6))</f>
        <v/>
      </c>
      <c r="D11" s="51" t="inlineStr">
        <is>
          <t>사망</t>
        </is>
      </c>
      <c r="E11" s="55">
        <f>COUNTIF('테스트 케이스'!B4:B77,D11)</f>
        <v/>
      </c>
    </row>
    <row r="12" ht="15" customHeight="1" s="31">
      <c r="A12" s="57" t="inlineStr">
        <is>
          <t>진행률 (전체−미실행)÷전체</t>
        </is>
      </c>
      <c r="B12" s="58">
        <f>IF(B3=0,0,(B3-B8)/B3)</f>
        <v/>
      </c>
      <c r="D12" s="51" t="inlineStr">
        <is>
          <t>게임오버</t>
        </is>
      </c>
      <c r="E12" s="55">
        <f>COUNTIF('테스트 케이스'!B4:B77,D12)</f>
        <v/>
      </c>
    </row>
    <row r="13" ht="15" customHeight="1" s="31">
      <c r="A13" s="54" t="inlineStr">
        <is>
          <t>Jira 연결 TC 수</t>
        </is>
      </c>
      <c r="B13" s="53">
        <f>COUNTA('테스트 케이스'!K4:K77)</f>
        <v/>
      </c>
      <c r="D13" s="51" t="inlineStr">
        <is>
          <t>코인</t>
        </is>
      </c>
      <c r="E13" s="55">
        <f>COUNTIF('테스트 케이스'!B4:B77,D13)</f>
        <v/>
      </c>
    </row>
    <row r="14" ht="15" customHeight="1" s="31">
      <c r="A14" s="54" t="inlineStr">
        <is>
          <t>1회차 대비</t>
        </is>
      </c>
      <c r="B14" s="53" t="inlineStr">
        <is>
          <t>1회차: Pass 47 / Fail 5 / Block 1 / 보류 1 / 미실행 1 (전체 55)</t>
        </is>
      </c>
      <c r="D14" s="51" t="inlineStr">
        <is>
          <t>상점</t>
        </is>
      </c>
      <c r="E14" s="55">
        <f>COUNTIF('테스트 케이스'!B4:B77,D14)</f>
        <v/>
      </c>
    </row>
    <row r="15" ht="15" customHeight="1" s="31">
      <c r="A15" s="54" t="inlineStr">
        <is>
          <t>발견 버그 재검증 Pass</t>
        </is>
      </c>
      <c r="B15" s="53">
        <f>COUNTIF('테스트 케이스'!L4:L77,"Pass")</f>
        <v/>
      </c>
      <c r="D15" s="51" t="inlineStr">
        <is>
          <t>세트</t>
        </is>
      </c>
      <c r="E15" s="55">
        <f>COUNTIF('테스트 케이스'!B4:B77,D15)</f>
        <v/>
      </c>
    </row>
    <row r="16" ht="15" customHeight="1" s="31">
      <c r="A16" s="54" t="inlineStr">
        <is>
          <t>발견 버그 재검증 Fail</t>
        </is>
      </c>
      <c r="B16" s="53">
        <f>COUNTIF('테스트 케이스'!L4:L77,"Fail")</f>
        <v/>
      </c>
      <c r="D16" s="55" t="inlineStr">
        <is>
          <t>HUD</t>
        </is>
      </c>
      <c r="E16" s="55">
        <f>COUNTIF('테스트 케이스'!B4:B77,D16)</f>
        <v/>
      </c>
    </row>
    <row r="17" ht="15" customHeight="1" s="31">
      <c r="D17" s="51" t="inlineStr">
        <is>
          <t>아이콘</t>
        </is>
      </c>
      <c r="E17" s="55">
        <f>COUNTIF('테스트 케이스'!B4:B77,D17)</f>
        <v/>
      </c>
    </row>
    <row r="18" ht="15" customHeight="1" s="31">
      <c r="D18" s="51" t="inlineStr">
        <is>
          <t>무기</t>
        </is>
      </c>
      <c r="E18" s="55">
        <f>COUNTIF('테스트 케이스'!B4:B77,D18)</f>
        <v/>
      </c>
    </row>
    <row r="19" ht="15" customHeight="1" s="31">
      <c r="D19" s="51" t="inlineStr">
        <is>
          <t>탐색</t>
        </is>
      </c>
      <c r="E19" s="55">
        <f>COUNTIF('테스트 케이스'!B4:B77,D19)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2026-09-04T11:38:47Z</dcterms:created>
  <dcterms:modified xmlns:dcterms="http://purl.org/dc/terms/" xmlns:xsi="http://www.w3.org/2001/XMLSchema-instance" xsi:type="dcterms:W3CDTF">2026-10-15T07:51:35Z</dcterms:modified>
  <cp:lastModifiedBy>김성재김성재</cp:lastModifiedBy>
  <cp:revision>0</cp:revision>
</cp:coreProperties>
</file>