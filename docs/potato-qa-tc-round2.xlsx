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테스트 케이스" sheetId="1" state="visible" r:id="rId3"/>
    <sheet name="요약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<sst xmlns="http://schemas.openxmlformats.org/spreadsheetml/2006/main" count="609" uniqueCount="415">
  <si>
    <r>
      <rPr>
        <b val="true"/>
        <sz val="16"/>
        <color rgb="FF1F3B57"/>
        <rFont val="Arial"/>
        <family val="2"/>
        <charset val="1"/>
      </rPr>
      <t xml:space="preserve">POTATO SURVIVORS — QA </t>
    </r>
    <r>
      <rPr>
        <b val="true"/>
        <sz val="16"/>
        <color rgb="FF1F3B57"/>
        <rFont val="Noto Sans CJK SC"/>
        <family val="2"/>
      </rPr>
      <t xml:space="preserve">테스트 케이스 </t>
    </r>
    <r>
      <rPr>
        <b val="true"/>
        <sz val="16"/>
        <color rgb="FF1F3B57"/>
        <rFont val="Arial"/>
        <family val="2"/>
        <charset val="1"/>
      </rPr>
      <t xml:space="preserve">(2</t>
    </r>
    <r>
      <rPr>
        <b val="true"/>
        <sz val="16"/>
        <color rgb="FF1F3B57"/>
        <rFont val="Noto Sans CJK SC"/>
        <family val="2"/>
      </rPr>
      <t xml:space="preserve">회차</t>
    </r>
    <r>
      <rPr>
        <b val="true"/>
        <sz val="16"/>
        <color rgb="FF1F3B57"/>
        <rFont val="Arial"/>
        <family val="2"/>
        <charset val="1"/>
      </rPr>
      <t xml:space="preserve">: </t>
    </r>
    <r>
      <rPr>
        <b val="true"/>
        <sz val="16"/>
        <color rgb="FF1F3B57"/>
        <rFont val="Noto Sans CJK SC"/>
        <family val="2"/>
      </rPr>
      <t xml:space="preserve">회귀 </t>
    </r>
    <r>
      <rPr>
        <b val="true"/>
        <sz val="16"/>
        <color rgb="FF1F3B57"/>
        <rFont val="Arial"/>
        <family val="2"/>
        <charset val="1"/>
      </rPr>
      <t xml:space="preserve">+ </t>
    </r>
    <r>
      <rPr>
        <b val="true"/>
        <sz val="16"/>
        <color rgb="FF1F3B57"/>
        <rFont val="Noto Sans CJK SC"/>
        <family val="2"/>
      </rPr>
      <t xml:space="preserve">탐색</t>
    </r>
    <r>
      <rPr>
        <b val="true"/>
        <sz val="16"/>
        <color rgb="FF1F3B57"/>
        <rFont val="Arial"/>
        <family val="2"/>
        <charset val="1"/>
      </rPr>
      <t xml:space="preserve">)</t>
    </r>
  </si>
  <si>
    <t xml:space="preserve">채워 넣을 칸: [실제 결과] [결과 드롭다운] [비고] [Jira 이슈].  Fail이면 Jira에 버그 등록 후 이슈 번호(예: PS-1)를 적으세요.  결과는 '요약' 시트에서 자동 집계됩니다.</t>
  </si>
  <si>
    <t xml:space="preserve">TC ID</t>
  </si>
  <si>
    <t xml:space="preserve">대분류</t>
  </si>
  <si>
    <t xml:space="preserve">테스트 항목</t>
  </si>
  <si>
    <t xml:space="preserve">사전조건</t>
  </si>
  <si>
    <t xml:space="preserve">테스트 절차</t>
  </si>
  <si>
    <t xml:space="preserve">기대 결과</t>
  </si>
  <si>
    <t xml:space="preserve">실제 결과</t>
  </si>
  <si>
    <t xml:space="preserve">결과</t>
  </si>
  <si>
    <t xml:space="preserve">비고</t>
  </si>
  <si>
    <t xml:space="preserve">1회차 이력</t>
  </si>
  <si>
    <t xml:space="preserve">Jira 이슈</t>
  </si>
  <si>
    <t xml:space="preserve">재검증</t>
  </si>
  <si>
    <t xml:space="preserve">예시</t>
  </si>
  <si>
    <t xml:space="preserve">전투</t>
  </si>
  <si>
    <t xml:space="preserve">근접 자동공격</t>
  </si>
  <si>
    <t xml:space="preserve">근접 무기 장착·적 존재</t>
  </si>
  <si>
    <t xml:space="preserve">적이 감지 범위에 진입</t>
  </si>
  <si>
    <t xml:space="preserve">자동 스핀 공격으로 적에게 피해</t>
  </si>
  <si>
    <t xml:space="preserve">정상 작동함</t>
  </si>
  <si>
    <t xml:space="preserve">Pass</t>
  </si>
  <si>
    <t xml:space="preserve">프레임 드랍 없음</t>
  </si>
  <si>
    <t xml:space="preserve">TC-001</t>
  </si>
  <si>
    <t xml:space="preserve">로비</t>
  </si>
  <si>
    <t xml:space="preserve">게임 최초 실행</t>
  </si>
  <si>
    <t xml:space="preserve">게임을 처음 실행</t>
  </si>
  <si>
    <t xml:space="preserve">에디터/빌드로 게임 실행</t>
  </si>
  <si>
    <r>
      <rPr>
        <sz val="10"/>
        <rFont val="Arial"/>
        <family val="2"/>
        <charset val="1"/>
      </rPr>
      <t xml:space="preserve">MainMenu </t>
    </r>
    <r>
      <rPr>
        <sz val="10"/>
        <rFont val="Noto Sans CJK SC"/>
        <family val="2"/>
      </rPr>
      <t xml:space="preserve">씬이 먼저 표시</t>
    </r>
    <r>
      <rPr>
        <sz val="10"/>
        <rFont val="Arial"/>
        <family val="2"/>
        <charset val="1"/>
      </rPr>
      <t xml:space="preserve">(</t>
    </r>
    <r>
      <rPr>
        <sz val="10"/>
        <rFont val="Noto Sans CJK SC"/>
        <family val="2"/>
      </rPr>
      <t xml:space="preserve">타이틀 로고</t>
    </r>
    <r>
      <rPr>
        <sz val="10"/>
        <rFont val="Arial"/>
        <family val="2"/>
        <charset val="1"/>
      </rPr>
      <t xml:space="preserve">·</t>
    </r>
    <r>
      <rPr>
        <sz val="10"/>
        <rFont val="Noto Sans CJK SC"/>
        <family val="2"/>
      </rPr>
      <t xml:space="preserve">무기 </t>
    </r>
    <r>
      <rPr>
        <sz val="10"/>
        <rFont val="Arial"/>
        <family val="2"/>
        <charset val="1"/>
      </rPr>
      <t xml:space="preserve">6</t>
    </r>
    <r>
      <rPr>
        <sz val="10"/>
        <rFont val="Noto Sans CJK SC"/>
        <family val="2"/>
      </rPr>
      <t xml:space="preserve">종</t>
    </r>
    <r>
      <rPr>
        <sz val="10"/>
        <rFont val="Arial"/>
        <family val="2"/>
        <charset val="1"/>
      </rPr>
      <t xml:space="preserve">·</t>
    </r>
    <r>
      <rPr>
        <sz val="10"/>
        <rFont val="Noto Sans CJK SC"/>
        <family val="2"/>
      </rPr>
      <t xml:space="preserve">시작</t>
    </r>
    <r>
      <rPr>
        <sz val="10"/>
        <rFont val="Arial"/>
        <family val="2"/>
        <charset val="1"/>
      </rPr>
      <t xml:space="preserve">/</t>
    </r>
    <r>
      <rPr>
        <sz val="10"/>
        <rFont val="Noto Sans CJK SC"/>
        <family val="2"/>
      </rPr>
      <t xml:space="preserve">종료 버튼</t>
    </r>
    <r>
      <rPr>
        <sz val="10"/>
        <rFont val="Arial"/>
        <family val="2"/>
        <charset val="1"/>
      </rPr>
      <t xml:space="preserve">)</t>
    </r>
  </si>
  <si>
    <t xml:space="preserve">TC-002</t>
  </si>
  <si>
    <t xml:space="preserve">무기 선택</t>
  </si>
  <si>
    <t xml:space="preserve">로비 화면</t>
  </si>
  <si>
    <t xml:space="preserve">무기 카드 클릭</t>
  </si>
  <si>
    <t xml:space="preserve">선택 카드가 노란색 하이라이트 + 하단에 선택 무기 정보 표시</t>
  </si>
  <si>
    <t xml:space="preserve">TC-003</t>
  </si>
  <si>
    <t xml:space="preserve">게임 시작</t>
  </si>
  <si>
    <t xml:space="preserve">무기 1개 선택</t>
  </si>
  <si>
    <r>
      <rPr>
        <sz val="10"/>
        <rFont val="Arial"/>
        <family val="2"/>
        <charset val="1"/>
      </rPr>
      <t xml:space="preserve">'</t>
    </r>
    <r>
      <rPr>
        <sz val="10"/>
        <rFont val="Noto Sans CJK SC"/>
        <family val="2"/>
      </rPr>
      <t xml:space="preserve">게임 시작</t>
    </r>
    <r>
      <rPr>
        <sz val="10"/>
        <rFont val="Arial"/>
        <family val="2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</si>
  <si>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t xml:space="preserve">게임 씬 진입 + 선택 무기를 장착한 상태로 시작</t>
  </si>
  <si>
    <t xml:space="preserve">TC-004</t>
  </si>
  <si>
    <t xml:space="preserve">무기 미선택 시작</t>
  </si>
  <si>
    <t xml:space="preserve">로비 진입 직후(카드 클릭 안 함)</t>
  </si>
  <si>
    <t xml:space="preserve">첫 무기가 기본 선택된 상태로 시작(빈손 시작 없음)</t>
  </si>
  <si>
    <t xml:space="preserve">보류 → 사양 확정(첫 무기 기본 선택)</t>
  </si>
  <si>
    <t xml:space="preserve">TC-005</t>
  </si>
  <si>
    <t xml:space="preserve">종료</t>
  </si>
  <si>
    <r>
      <rPr>
        <sz val="10"/>
        <rFont val="Arial"/>
        <family val="2"/>
        <charset val="1"/>
      </rPr>
      <t xml:space="preserve">'</t>
    </r>
    <r>
      <rPr>
        <sz val="10"/>
        <rFont val="Noto Sans CJK SC"/>
        <family val="2"/>
      </rPr>
      <t xml:space="preserve">종료</t>
    </r>
    <r>
      <rPr>
        <sz val="10"/>
        <rFont val="Arial"/>
        <family val="2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</si>
  <si>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t xml:space="preserve">게임 종료(에디터는 플레이 모드 중지)</t>
  </si>
  <si>
    <t xml:space="preserve">TC-006</t>
  </si>
  <si>
    <t xml:space="preserve">이동</t>
  </si>
  <si>
    <t xml:space="preserve">기본 이동</t>
  </si>
  <si>
    <t xml:space="preserve">게임 진행 중</t>
  </si>
  <si>
    <r>
      <rPr>
        <sz val="10"/>
        <rFont val="Arial"/>
        <family val="2"/>
        <charset val="1"/>
      </rPr>
      <t xml:space="preserve">WASD/</t>
    </r>
    <r>
      <rPr>
        <sz val="10"/>
        <rFont val="Noto Sans CJK SC"/>
        <family val="2"/>
      </rPr>
      <t xml:space="preserve">방향키 입력</t>
    </r>
  </si>
  <si>
    <t xml:space="preserve">플레이어가 해당 방향으로 이동</t>
  </si>
  <si>
    <t xml:space="preserve">TC-007</t>
  </si>
  <si>
    <t xml:space="preserve">화면 경계</t>
  </si>
  <si>
    <t xml:space="preserve">플레이어를 화면 끝으로</t>
  </si>
  <si>
    <t xml:space="preserve">화면 밖으로 계속 이동 시도</t>
  </si>
  <si>
    <t xml:space="preserve">카메라 화면 경계를 벗어나지 않음</t>
  </si>
  <si>
    <r>
      <rPr>
        <sz val="10"/>
        <rFont val="Arial"/>
        <family val="2"/>
        <charset val="1"/>
      </rPr>
      <t xml:space="preserve">Fail → edgePadding </t>
    </r>
    <r>
      <rPr>
        <sz val="10"/>
        <rFont val="Noto Sans CJK SC"/>
        <family val="2"/>
      </rPr>
      <t xml:space="preserve">수정</t>
    </r>
    <r>
      <rPr>
        <sz val="10"/>
        <rFont val="Arial"/>
        <family val="2"/>
        <charset val="1"/>
      </rPr>
      <t xml:space="preserve">, </t>
    </r>
    <r>
      <rPr>
        <sz val="10"/>
        <rFont val="Noto Sans CJK SC"/>
        <family val="2"/>
      </rPr>
      <t xml:space="preserve">재검증 </t>
    </r>
    <r>
      <rPr>
        <sz val="10"/>
        <rFont val="Arial"/>
        <family val="2"/>
        <charset val="1"/>
      </rPr>
      <t xml:space="preserve">Pass</t>
    </r>
  </si>
  <si>
    <t xml:space="preserve">TC-008</t>
  </si>
  <si>
    <t xml:space="preserve">무기가 자동 스핀 공격하여 적에게 피해</t>
  </si>
  <si>
    <t xml:space="preserve">TC-009</t>
  </si>
  <si>
    <t xml:space="preserve">원거리 발사</t>
  </si>
  <si>
    <t xml:space="preserve">원거리 무기 장착·적 존재</t>
  </si>
  <si>
    <t xml:space="preserve">적 감지</t>
  </si>
  <si>
    <t xml:space="preserve">투사체가 적 방향으로 발사되어 피해</t>
  </si>
  <si>
    <t xml:space="preserve">TC-010</t>
  </si>
  <si>
    <t xml:space="preserve">샷건 산탄</t>
  </si>
  <si>
    <t xml:space="preserve">샷건 장착</t>
  </si>
  <si>
    <t xml:space="preserve">공격 발동</t>
  </si>
  <si>
    <t xml:space="preserve">투사체 5발이 부채꼴로 발사</t>
  </si>
  <si>
    <t xml:space="preserve">TC-011</t>
  </si>
  <si>
    <t xml:space="preserve">쿨다운</t>
  </si>
  <si>
    <t xml:space="preserve">공격 직후</t>
  </si>
  <si>
    <t xml:space="preserve">쿨다운 시간 대기</t>
  </si>
  <si>
    <t xml:space="preserve">쿨다운 경과 후 다음 공격 발동</t>
  </si>
  <si>
    <t xml:space="preserve">TC-012</t>
  </si>
  <si>
    <t xml:space="preserve">적 없음</t>
  </si>
  <si>
    <t xml:space="preserve">주변에 적 없음</t>
  </si>
  <si>
    <t xml:space="preserve">대기</t>
  </si>
  <si>
    <t xml:space="preserve">무기가 공격하지 않음(투사체 낭비 없음)</t>
  </si>
  <si>
    <t xml:space="preserve">TC-013</t>
  </si>
  <si>
    <t xml:space="preserve">관통</t>
  </si>
  <si>
    <t xml:space="preserve">관통 무기(석궁 등)</t>
  </si>
  <si>
    <t xml:space="preserve">투사체가 적 명중</t>
  </si>
  <si>
    <t xml:space="preserve">지정 관통 수만큼 적을 통과하며 타격</t>
  </si>
  <si>
    <t xml:space="preserve">TC-014</t>
  </si>
  <si>
    <t xml:space="preserve">몬스터</t>
  </si>
  <si>
    <t xml:space="preserve">스폰 위치</t>
  </si>
  <si>
    <t xml:space="preserve">웨이브 시작</t>
  </si>
  <si>
    <t xml:space="preserve">웨이브 개시</t>
  </si>
  <si>
    <t xml:space="preserve">몬스터가 화면 안 영역에 스폰</t>
  </si>
  <si>
    <t xml:space="preserve">TC-015</t>
  </si>
  <si>
    <t xml:space="preserve">추격</t>
  </si>
  <si>
    <t xml:space="preserve">몬스터 스폰됨</t>
  </si>
  <si>
    <t xml:space="preserve">시간 경과</t>
  </si>
  <si>
    <t xml:space="preserve">몬스터가 플레이어를 추격</t>
  </si>
  <si>
    <t xml:space="preserve">TC-016</t>
  </si>
  <si>
    <t xml:space="preserve">근접 공격</t>
  </si>
  <si>
    <t xml:space="preserve">몬스터가 플레이어에 접촉</t>
  </si>
  <si>
    <t xml:space="preserve">접촉 유지</t>
  </si>
  <si>
    <t xml:space="preserve">플레이어 HP 감소</t>
  </si>
  <si>
    <t xml:space="preserve">TC-017</t>
  </si>
  <si>
    <t xml:space="preserve">원거리 몬스터</t>
  </si>
  <si>
    <t xml:space="preserve">원거리 몬스터 존재</t>
  </si>
  <si>
    <t xml:space="preserve">사거리 내 플레이어</t>
  </si>
  <si>
    <t xml:space="preserve">몬스터가 플레이어에게 투사체 발사(플레이어만 피격, 몬스터끼리 X)</t>
  </si>
  <si>
    <t xml:space="preserve">TC-018</t>
  </si>
  <si>
    <t xml:space="preserve">보스</t>
  </si>
  <si>
    <t xml:space="preserve">등장 주기</t>
  </si>
  <si>
    <t xml:space="preserve">스테이지 진행</t>
  </si>
  <si>
    <r>
      <rPr>
        <sz val="10"/>
        <rFont val="Arial"/>
        <family val="2"/>
        <charset val="1"/>
      </rPr>
      <t xml:space="preserve">5</t>
    </r>
    <r>
      <rPr>
        <sz val="10"/>
        <rFont val="Noto Sans CJK SC"/>
        <family val="2"/>
      </rPr>
      <t xml:space="preserve">스테이지 도달</t>
    </r>
  </si>
  <si>
    <t xml:space="preserve">보스가 등장(2라운드에는 안 나옴)</t>
  </si>
  <si>
    <r>
      <rPr>
        <sz val="10"/>
        <rFont val="Arial"/>
        <family val="2"/>
        <charset val="1"/>
      </rPr>
      <t xml:space="preserve">Fail → SpawnConfig </t>
    </r>
    <r>
      <rPr>
        <sz val="10"/>
        <rFont val="Noto Sans CJK SC"/>
        <family val="2"/>
      </rPr>
      <t xml:space="preserve">자동 주입</t>
    </r>
    <r>
      <rPr>
        <sz val="10"/>
        <rFont val="Arial"/>
        <family val="2"/>
        <charset val="1"/>
      </rPr>
      <t xml:space="preserve">, </t>
    </r>
    <r>
      <rPr>
        <sz val="10"/>
        <rFont val="Noto Sans CJK SC"/>
        <family val="2"/>
      </rPr>
      <t xml:space="preserve">재검증 </t>
    </r>
    <r>
      <rPr>
        <sz val="10"/>
        <rFont val="Arial"/>
        <family val="2"/>
        <charset val="1"/>
      </rPr>
      <t xml:space="preserve">Pass</t>
    </r>
  </si>
  <si>
    <t xml:space="preserve">TC-019</t>
  </si>
  <si>
    <t xml:space="preserve">처치 보상</t>
  </si>
  <si>
    <t xml:space="preserve">몬스터에 피해 누적</t>
  </si>
  <si>
    <t xml:space="preserve">몬스터 처치</t>
  </si>
  <si>
    <t xml:space="preserve">코인이 드랍됨</t>
  </si>
  <si>
    <t xml:space="preserve">TC-020</t>
  </si>
  <si>
    <t xml:space="preserve">웨이브</t>
  </si>
  <si>
    <t xml:space="preserve">시간 종료</t>
  </si>
  <si>
    <t xml:space="preserve">웨이브 진행 중</t>
  </si>
  <si>
    <r>
      <rPr>
        <sz val="10"/>
        <rFont val="Arial"/>
        <family val="2"/>
        <charset val="1"/>
      </rPr>
      <t xml:space="preserve">20</t>
    </r>
    <r>
      <rPr>
        <sz val="10"/>
        <rFont val="Noto Sans CJK SC"/>
        <family val="2"/>
      </rPr>
      <t xml:space="preserve">초 경과</t>
    </r>
  </si>
  <si>
    <t xml:space="preserve">웨이브 종료 후 상점 오픈</t>
  </si>
  <si>
    <t xml:space="preserve">TC-021</t>
  </si>
  <si>
    <t xml:space="preserve">전멸 무관</t>
  </si>
  <si>
    <t xml:space="preserve">시간 남은 채 모든 몬스터 처치</t>
  </si>
  <si>
    <t xml:space="preserve">웨이브가 끝나지 않고 계속 진행(시간 기반)</t>
  </si>
  <si>
    <t xml:space="preserve">TC-022</t>
  </si>
  <si>
    <t xml:space="preserve">스테이지</t>
  </si>
  <si>
    <t xml:space="preserve">번호 증가</t>
  </si>
  <si>
    <t xml:space="preserve">상점 화면</t>
  </si>
  <si>
    <r>
      <rPr>
        <sz val="10"/>
        <rFont val="Arial"/>
        <family val="2"/>
        <charset val="1"/>
      </rPr>
      <t xml:space="preserve">'</t>
    </r>
    <r>
      <rPr>
        <sz val="10"/>
        <rFont val="Noto Sans CJK SC"/>
        <family val="2"/>
      </rPr>
      <t xml:space="preserve">다음 라운드</t>
    </r>
    <r>
      <rPr>
        <sz val="10"/>
        <rFont val="Arial"/>
        <family val="2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</si>
  <si>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t xml:space="preserve">스테이지 번호 +1 후 웨이브 재개</t>
  </si>
  <si>
    <t xml:space="preserve">TC-023</t>
  </si>
  <si>
    <t xml:space="preserve">HP</t>
  </si>
  <si>
    <t xml:space="preserve">체력바 감소</t>
  </si>
  <si>
    <t xml:space="preserve">플레이어 피격</t>
  </si>
  <si>
    <t xml:space="preserve">피해 받음</t>
  </si>
  <si>
    <t xml:space="preserve">머리 위 체력바가 감소</t>
  </si>
  <si>
    <t xml:space="preserve">TC-024</t>
  </si>
  <si>
    <t xml:space="preserve">사망</t>
  </si>
  <si>
    <t xml:space="preserve">게임오버</t>
  </si>
  <si>
    <t xml:space="preserve">플레이어 HP 0</t>
  </si>
  <si>
    <r>
      <rPr>
        <sz val="10"/>
        <rFont val="Arial"/>
        <family val="2"/>
        <charset val="1"/>
      </rPr>
      <t xml:space="preserve">HP</t>
    </r>
    <r>
      <rPr>
        <sz val="10"/>
        <rFont val="Noto Sans CJK SC"/>
        <family val="2"/>
      </rPr>
      <t xml:space="preserve">가 </t>
    </r>
    <r>
      <rPr>
        <sz val="10"/>
        <rFont val="Arial"/>
        <family val="2"/>
        <charset val="1"/>
      </rPr>
      <t xml:space="preserve">0</t>
    </r>
    <r>
      <rPr>
        <sz val="10"/>
        <rFont val="Noto Sans CJK SC"/>
        <family val="2"/>
      </rPr>
      <t xml:space="preserve">이 됨</t>
    </r>
  </si>
  <si>
    <t xml:space="preserve">게임오버 패널 표시 + 게임 일시정지</t>
  </si>
  <si>
    <t xml:space="preserve">TC-025</t>
  </si>
  <si>
    <t xml:space="preserve">재시작</t>
  </si>
  <si>
    <t xml:space="preserve">게임오버 패널</t>
  </si>
  <si>
    <r>
      <rPr>
        <sz val="10"/>
        <rFont val="Arial"/>
        <family val="2"/>
        <charset val="1"/>
      </rPr>
      <t xml:space="preserve">'</t>
    </r>
    <r>
      <rPr>
        <sz val="10"/>
        <rFont val="Noto Sans CJK SC"/>
        <family val="2"/>
      </rPr>
      <t xml:space="preserve">다시 시작</t>
    </r>
    <r>
      <rPr>
        <sz val="10"/>
        <rFont val="Arial"/>
        <family val="2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</si>
  <si>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t xml:space="preserve">현재 씬 리로드(초기화) + 시작 무기 재지급</t>
  </si>
  <si>
    <t xml:space="preserve">TC-026</t>
  </si>
  <si>
    <t xml:space="preserve">로비 복귀</t>
  </si>
  <si>
    <r>
      <rPr>
        <sz val="10"/>
        <rFont val="Arial"/>
        <family val="2"/>
        <charset val="1"/>
      </rPr>
      <t xml:space="preserve">'</t>
    </r>
    <r>
      <rPr>
        <sz val="10"/>
        <rFont val="Noto Sans CJK SC"/>
        <family val="2"/>
      </rPr>
      <t xml:space="preserve">로비로</t>
    </r>
    <r>
      <rPr>
        <sz val="10"/>
        <rFont val="Arial"/>
        <family val="2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</si>
  <si>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r>
      <rPr>
        <sz val="10"/>
        <rFont val="Arial"/>
        <family val="2"/>
        <charset val="1"/>
      </rPr>
      <t xml:space="preserve">MainMenu </t>
    </r>
    <r>
      <rPr>
        <sz val="10"/>
        <rFont val="Noto Sans CJK SC"/>
        <family val="2"/>
      </rPr>
      <t xml:space="preserve">복귀 </t>
    </r>
    <r>
      <rPr>
        <sz val="10"/>
        <rFont val="Arial"/>
        <family val="2"/>
        <charset val="1"/>
      </rPr>
      <t xml:space="preserve">+ </t>
    </r>
    <r>
      <rPr>
        <sz val="10"/>
        <rFont val="Noto Sans CJK SC"/>
        <family val="2"/>
      </rPr>
      <t xml:space="preserve">시작 무기 선택 초기화</t>
    </r>
  </si>
  <si>
    <t xml:space="preserve">TC-027</t>
  </si>
  <si>
    <t xml:space="preserve">코인</t>
  </si>
  <si>
    <t xml:space="preserve">드랍</t>
  </si>
  <si>
    <t xml:space="preserve">처치 발생</t>
  </si>
  <si>
    <t xml:space="preserve">코인이 바닥에 드랍</t>
  </si>
  <si>
    <t xml:space="preserve">TC-028</t>
  </si>
  <si>
    <t xml:space="preserve">자석 획득</t>
  </si>
  <si>
    <t xml:space="preserve">코인 드랍됨</t>
  </si>
  <si>
    <t xml:space="preserve">플레이어가 코인에 접근</t>
  </si>
  <si>
    <t xml:space="preserve">코인이 흡수되어 골드 증가</t>
  </si>
  <si>
    <r>
      <rPr>
        <sz val="10"/>
        <rFont val="Arial"/>
        <family val="2"/>
        <charset val="1"/>
      </rPr>
      <t xml:space="preserve">Fail → </t>
    </r>
    <r>
      <rPr>
        <sz val="10"/>
        <rFont val="Noto Sans CJK SC"/>
        <family val="2"/>
      </rPr>
      <t xml:space="preserve">자석 범위 상향</t>
    </r>
    <r>
      <rPr>
        <sz val="10"/>
        <rFont val="Arial"/>
        <family val="2"/>
        <charset val="1"/>
      </rPr>
      <t xml:space="preserve">, </t>
    </r>
    <r>
      <rPr>
        <sz val="10"/>
        <rFont val="Noto Sans CJK SC"/>
        <family val="2"/>
      </rPr>
      <t xml:space="preserve">재검증 </t>
    </r>
    <r>
      <rPr>
        <sz val="10"/>
        <rFont val="Arial"/>
        <family val="2"/>
        <charset val="1"/>
      </rPr>
      <t xml:space="preserve">Pass</t>
    </r>
  </si>
  <si>
    <t xml:space="preserve">TC-029</t>
  </si>
  <si>
    <r>
      <rPr>
        <sz val="10"/>
        <rFont val="Arial"/>
        <family val="2"/>
        <charset val="1"/>
      </rPr>
      <t xml:space="preserve">HUD </t>
    </r>
    <r>
      <rPr>
        <sz val="10"/>
        <rFont val="Noto Sans CJK SC"/>
        <family val="2"/>
      </rPr>
      <t xml:space="preserve">갱신</t>
    </r>
  </si>
  <si>
    <t xml:space="preserve">코인 획득</t>
  </si>
  <si>
    <t xml:space="preserve">골드 증가</t>
  </si>
  <si>
    <r>
      <rPr>
        <sz val="10"/>
        <rFont val="Arial"/>
        <family val="2"/>
        <charset val="1"/>
      </rPr>
      <t xml:space="preserve">HUD </t>
    </r>
    <r>
      <rPr>
        <sz val="10"/>
        <rFont val="Noto Sans CJK SC"/>
        <family val="2"/>
      </rPr>
      <t xml:space="preserve">골드 수치가 즉시 갱신</t>
    </r>
  </si>
  <si>
    <t xml:space="preserve">TC-030</t>
  </si>
  <si>
    <t xml:space="preserve">상점</t>
  </si>
  <si>
    <t xml:space="preserve">자동 오픈</t>
  </si>
  <si>
    <t xml:space="preserve">웨이브 종료</t>
  </si>
  <si>
    <t xml:space="preserve">종료 시점</t>
  </si>
  <si>
    <t xml:space="preserve">상점 자동으로 열리고 게임 일시정지</t>
  </si>
  <si>
    <t xml:space="preserve">상점에서 F1 배속 버튼을 누르면 일시정지가 풀려 투사체가 계속 이동함</t>
  </si>
  <si>
    <t xml:space="preserve">Fail</t>
  </si>
  <si>
    <t xml:space="preserve">원인: 디버그 배속이 timeScale=0을 덮어씀 / 수정 a93085f</t>
  </si>
  <si>
    <t xml:space="preserve">SCRUM-5</t>
  </si>
  <si>
    <t xml:space="preserve">TC-031</t>
  </si>
  <si>
    <t xml:space="preserve">신규 표시</t>
  </si>
  <si>
    <t xml:space="preserve">안 가진 무기가 카드에 뜸</t>
  </si>
  <si>
    <t xml:space="preserve">카드 확인</t>
  </si>
  <si>
    <r>
      <rPr>
        <sz val="10"/>
        <rFont val="Arial"/>
        <family val="2"/>
        <charset val="1"/>
      </rPr>
      <t xml:space="preserve">'</t>
    </r>
    <r>
      <rPr>
        <sz val="10"/>
        <rFont val="Noto Sans CJK SC"/>
        <family val="2"/>
      </rPr>
      <t xml:space="preserve">무기명 </t>
    </r>
    <r>
      <rPr>
        <sz val="10"/>
        <rFont val="Arial"/>
        <family val="2"/>
        <charset val="1"/>
      </rPr>
      <t xml:space="preserve">Lv1 (</t>
    </r>
    <r>
      <rPr>
        <sz val="10"/>
        <rFont val="Noto Sans CJK SC"/>
        <family val="2"/>
      </rPr>
      <t xml:space="preserve">신규</t>
    </r>
    <r>
      <rPr>
        <sz val="10"/>
        <rFont val="Arial"/>
        <family val="2"/>
        <charset val="1"/>
      </rPr>
      <t xml:space="preserve">)'</t>
    </r>
    <r>
      <rPr>
        <sz val="10"/>
        <rFont val="Noto Sans CJK SC"/>
        <family val="2"/>
      </rPr>
      <t xml:space="preserve">로 표시</t>
    </r>
  </si>
  <si>
    <t xml:space="preserve">TC-032</t>
  </si>
  <si>
    <t xml:space="preserve">강화 표시</t>
  </si>
  <si>
    <t xml:space="preserve">보유 무기가 카드에 뜸</t>
  </si>
  <si>
    <r>
      <rPr>
        <sz val="10"/>
        <rFont val="Arial"/>
        <family val="2"/>
        <charset val="1"/>
      </rPr>
      <t xml:space="preserve">'</t>
    </r>
    <r>
      <rPr>
        <sz val="10"/>
        <rFont val="Noto Sans CJK SC"/>
        <family val="2"/>
      </rPr>
      <t xml:space="preserve">무기명 </t>
    </r>
    <r>
      <rPr>
        <sz val="10"/>
        <rFont val="Arial"/>
        <family val="2"/>
        <charset val="1"/>
      </rPr>
      <t xml:space="preserve">Lv(</t>
    </r>
    <r>
      <rPr>
        <sz val="10"/>
        <rFont val="Noto Sans CJK SC"/>
        <family val="2"/>
      </rPr>
      <t xml:space="preserve">현재</t>
    </r>
    <r>
      <rPr>
        <sz val="10"/>
        <rFont val="Arial"/>
        <family val="2"/>
        <charset val="1"/>
      </rPr>
      <t xml:space="preserve">+1) (</t>
    </r>
    <r>
      <rPr>
        <sz val="10"/>
        <rFont val="Noto Sans CJK SC"/>
        <family val="2"/>
      </rPr>
      <t xml:space="preserve">강화</t>
    </r>
    <r>
      <rPr>
        <sz val="10"/>
        <rFont val="Arial"/>
        <family val="2"/>
        <charset val="1"/>
      </rPr>
      <t xml:space="preserve">)'</t>
    </r>
    <r>
      <rPr>
        <sz val="10"/>
        <rFont val="Noto Sans CJK SC"/>
        <family val="2"/>
      </rPr>
      <t xml:space="preserve">로 표시</t>
    </r>
  </si>
  <si>
    <t xml:space="preserve">TC-033</t>
  </si>
  <si>
    <t xml:space="preserve">만렙 제외</t>
  </si>
  <si>
    <t xml:space="preserve">특정 무기 Lv5 보유</t>
  </si>
  <si>
    <t xml:space="preserve">상점 여러 번 확인</t>
  </si>
  <si>
    <t xml:space="preserve">해당 무기가 카드에 뜨지 않음</t>
  </si>
  <si>
    <t xml:space="preserve">TC-034</t>
  </si>
  <si>
    <t xml:space="preserve">무기 구매</t>
  </si>
  <si>
    <t xml:space="preserve">골드 충분·무기 카드</t>
  </si>
  <si>
    <t xml:space="preserve">카드 구매</t>
  </si>
  <si>
    <t xml:space="preserve">무기 장착 또는 레벨업 + 골드 차감</t>
  </si>
  <si>
    <t xml:space="preserve">TC-035</t>
  </si>
  <si>
    <t xml:space="preserve">골드 부족</t>
  </si>
  <si>
    <t xml:space="preserve">골드 &lt; 가격</t>
  </si>
  <si>
    <t xml:space="preserve">구매 버튼 비활성(구매 불가)</t>
  </si>
  <si>
    <t xml:space="preserve">TC-036</t>
  </si>
  <si>
    <t xml:space="preserve">슬롯 만석</t>
  </si>
  <si>
    <r>
      <rPr>
        <sz val="10"/>
        <rFont val="Arial"/>
        <family val="2"/>
        <charset val="1"/>
      </rPr>
      <t xml:space="preserve">6</t>
    </r>
    <r>
      <rPr>
        <sz val="10"/>
        <rFont val="Noto Sans CJK SC"/>
        <family val="2"/>
      </rPr>
      <t xml:space="preserve">슬롯 가득 </t>
    </r>
    <r>
      <rPr>
        <sz val="10"/>
        <rFont val="Arial"/>
        <family val="2"/>
        <charset val="1"/>
      </rPr>
      <t xml:space="preserve">+ </t>
    </r>
    <r>
      <rPr>
        <sz val="10"/>
        <rFont val="Noto Sans CJK SC"/>
        <family val="2"/>
      </rPr>
      <t xml:space="preserve">신규 무기</t>
    </r>
  </si>
  <si>
    <t xml:space="preserve">구매 시도</t>
  </si>
  <si>
    <t xml:space="preserve">구매 실패 + 골드 환불</t>
  </si>
  <si>
    <t xml:space="preserve">TC-037</t>
  </si>
  <si>
    <t xml:space="preserve">만렙 환불</t>
  </si>
  <si>
    <t xml:space="preserve">만렙 무기 카드가 남은 경우</t>
  </si>
  <si>
    <r>
      <rPr>
        <sz val="10"/>
        <rFont val="Arial"/>
        <family val="2"/>
        <charset val="1"/>
      </rPr>
      <t xml:space="preserve">Fail → </t>
    </r>
    <r>
      <rPr>
        <sz val="10"/>
        <rFont val="Noto Sans CJK SC"/>
        <family val="2"/>
      </rPr>
      <t xml:space="preserve">디버그 콘솔로 재현</t>
    </r>
    <r>
      <rPr>
        <sz val="10"/>
        <rFont val="Arial"/>
        <family val="2"/>
        <charset val="1"/>
      </rPr>
      <t xml:space="preserve">·</t>
    </r>
    <r>
      <rPr>
        <sz val="10"/>
        <rFont val="Noto Sans CJK SC"/>
        <family val="2"/>
      </rPr>
      <t xml:space="preserve">확인</t>
    </r>
    <r>
      <rPr>
        <sz val="10"/>
        <rFont val="Arial"/>
        <family val="2"/>
        <charset val="1"/>
      </rPr>
      <t xml:space="preserve">, Pass</t>
    </r>
  </si>
  <si>
    <t xml:space="preserve">TC-038</t>
  </si>
  <si>
    <t xml:space="preserve">아이템 등급색</t>
  </si>
  <si>
    <t xml:space="preserve">아이템 카드 표시</t>
  </si>
  <si>
    <t xml:space="preserve">등급 테두리색(노말 회색/에픽 보라/유니크 금색)</t>
  </si>
  <si>
    <t xml:space="preserve">TC-039</t>
  </si>
  <si>
    <t xml:space="preserve">아이템 구매</t>
  </si>
  <si>
    <t xml:space="preserve">아이템 카드·골드 충분</t>
  </si>
  <si>
    <t xml:space="preserve">구매</t>
  </si>
  <si>
    <t xml:space="preserve">스탯 패널 값 증가 + 골드 차감</t>
  </si>
  <si>
    <t xml:space="preserve">TC-040</t>
  </si>
  <si>
    <r>
      <rPr>
        <sz val="10"/>
        <rFont val="Arial"/>
        <family val="2"/>
        <charset val="1"/>
      </rPr>
      <t xml:space="preserve">HP </t>
    </r>
    <r>
      <rPr>
        <sz val="10"/>
        <rFont val="Noto Sans CJK SC"/>
        <family val="2"/>
      </rPr>
      <t xml:space="preserve">아이템</t>
    </r>
  </si>
  <si>
    <r>
      <rPr>
        <sz val="10"/>
        <rFont val="Arial"/>
        <family val="2"/>
        <charset val="1"/>
      </rPr>
      <t xml:space="preserve">HP </t>
    </r>
    <r>
      <rPr>
        <sz val="10"/>
        <rFont val="Noto Sans CJK SC"/>
        <family val="2"/>
      </rPr>
      <t xml:space="preserve">아이템 구매</t>
    </r>
  </si>
  <si>
    <t xml:space="preserve">최대 HP 증가 + 증가분만큼 현재 HP 회복</t>
  </si>
  <si>
    <t xml:space="preserve">TC-041</t>
  </si>
  <si>
    <t xml:space="preserve">행운 영향</t>
  </si>
  <si>
    <t xml:space="preserve">행운 아이템 보유</t>
  </si>
  <si>
    <t xml:space="preserve">이후 상점 재방문</t>
  </si>
  <si>
    <t xml:space="preserve">상위 등급 아이템 출현 확률 증가(경향)</t>
  </si>
  <si>
    <t xml:space="preserve">TC-042</t>
  </si>
  <si>
    <t xml:space="preserve">리롤</t>
  </si>
  <si>
    <t xml:space="preserve">골드 충분</t>
  </si>
  <si>
    <r>
      <rPr>
        <sz val="10"/>
        <rFont val="Arial"/>
        <family val="2"/>
        <charset val="1"/>
      </rPr>
      <t xml:space="preserve">'</t>
    </r>
    <r>
      <rPr>
        <sz val="10"/>
        <rFont val="Noto Sans CJK SC"/>
        <family val="2"/>
      </rPr>
      <t xml:space="preserve">돌리기</t>
    </r>
    <r>
      <rPr>
        <sz val="10"/>
        <rFont val="Arial"/>
        <family val="2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</si>
  <si>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t xml:space="preserve">골드 차감 + 카드 새로 갱신</t>
  </si>
  <si>
    <t xml:space="preserve">TC-043</t>
  </si>
  <si>
    <t xml:space="preserve">리롤 부족</t>
  </si>
  <si>
    <t xml:space="preserve">골드 &lt; 리롤 비용</t>
  </si>
  <si>
    <t xml:space="preserve">확인</t>
  </si>
  <si>
    <t xml:space="preserve">돌리기 버튼 비활성</t>
  </si>
  <si>
    <t xml:space="preserve">TC-044</t>
  </si>
  <si>
    <t xml:space="preserve">다음 라운드</t>
  </si>
  <si>
    <t xml:space="preserve">상점 닫힘 + 일시정지 해제 + 웨이브 재개</t>
  </si>
  <si>
    <t xml:space="preserve">TC-045</t>
  </si>
  <si>
    <t xml:space="preserve">카드 UI</t>
  </si>
  <si>
    <t xml:space="preserve">상점 오픈</t>
  </si>
  <si>
    <t xml:space="preserve">아이콘·이름·레벨(또는 효과)·가격이 리모델 레이아웃으로 표시</t>
  </si>
  <si>
    <t xml:space="preserve">TC-046</t>
  </si>
  <si>
    <t xml:space="preserve">세트</t>
  </si>
  <si>
    <t xml:space="preserve">근접 세트</t>
  </si>
  <si>
    <t xml:space="preserve">근접 무기 2개 장착</t>
  </si>
  <si>
    <t xml:space="preserve">데미지 확인</t>
  </si>
  <si>
    <t xml:space="preserve">근접 무기 데미지 +10%(4개 +20%, 6개 +30%)</t>
  </si>
  <si>
    <t xml:space="preserve">TC-047</t>
  </si>
  <si>
    <t xml:space="preserve">원거리 세트</t>
  </si>
  <si>
    <t xml:space="preserve">원거리 무기 2개 장착</t>
  </si>
  <si>
    <t xml:space="preserve">원거리 무기만 세트 보너스 적용</t>
  </si>
  <si>
    <t xml:space="preserve">TC-048</t>
  </si>
  <si>
    <t xml:space="preserve">표시</t>
  </si>
  <si>
    <t xml:space="preserve">세트 활성</t>
  </si>
  <si>
    <t xml:space="preserve">상점 스탯 패널 확인</t>
  </si>
  <si>
    <r>
      <rPr>
        <sz val="10"/>
        <rFont val="Arial"/>
        <family val="2"/>
        <charset val="1"/>
      </rPr>
      <t xml:space="preserve">'</t>
    </r>
    <r>
      <rPr>
        <sz val="10"/>
        <rFont val="Noto Sans CJK SC"/>
        <family val="2"/>
      </rPr>
      <t xml:space="preserve">근접 세트 </t>
    </r>
    <r>
      <rPr>
        <sz val="10"/>
        <rFont val="Arial"/>
        <family val="2"/>
        <charset val="1"/>
      </rPr>
      <t xml:space="preserve">+X% (N)' </t>
    </r>
    <r>
      <rPr>
        <sz val="10"/>
        <rFont val="Noto Sans CJK SC"/>
        <family val="2"/>
      </rPr>
      <t xml:space="preserve">표시</t>
    </r>
  </si>
  <si>
    <t xml:space="preserve">TC-049</t>
  </si>
  <si>
    <t xml:space="preserve">즉시 갱신</t>
  </si>
  <si>
    <t xml:space="preserve">무기 추가/레벨업</t>
  </si>
  <si>
    <t xml:space="preserve">무기 구성 변경</t>
  </si>
  <si>
    <t xml:space="preserve">세트 보너스 즉시 재계산</t>
  </si>
  <si>
    <t xml:space="preserve">TC-050</t>
  </si>
  <si>
    <t xml:space="preserve">HUD</t>
  </si>
  <si>
    <t xml:space="preserve">상단바</t>
  </si>
  <si>
    <t xml:space="preserve">게임 진행</t>
  </si>
  <si>
    <t xml:space="preserve">화면 확인</t>
  </si>
  <si>
    <t xml:space="preserve">라운드/시간/골드가 상단에 표시</t>
  </si>
  <si>
    <t xml:space="preserve">TC-051</t>
  </si>
  <si>
    <t xml:space="preserve">무기 바</t>
  </si>
  <si>
    <t xml:space="preserve">무기 장착</t>
  </si>
  <si>
    <t xml:space="preserve">좌하단 확인</t>
  </si>
  <si>
    <t xml:space="preserve">장착 무기 아이콘이 줄로 표시</t>
  </si>
  <si>
    <r>
      <rPr>
        <sz val="10"/>
        <rFont val="Arial"/>
        <family val="2"/>
        <charset val="1"/>
      </rPr>
      <t xml:space="preserve">Fail → </t>
    </r>
    <r>
      <rPr>
        <sz val="10"/>
        <rFont val="Noto Sans CJK SC"/>
        <family val="2"/>
      </rPr>
      <t xml:space="preserve">아이콘 연결</t>
    </r>
    <r>
      <rPr>
        <sz val="10"/>
        <rFont val="Arial"/>
        <family val="2"/>
        <charset val="1"/>
      </rPr>
      <t xml:space="preserve">, </t>
    </r>
    <r>
      <rPr>
        <sz val="10"/>
        <rFont val="Noto Sans CJK SC"/>
        <family val="2"/>
      </rPr>
      <t xml:space="preserve">재검증 </t>
    </r>
    <r>
      <rPr>
        <sz val="10"/>
        <rFont val="Arial"/>
        <family val="2"/>
        <charset val="1"/>
      </rPr>
      <t xml:space="preserve">Pass</t>
    </r>
  </si>
  <si>
    <t xml:space="preserve">TC-052</t>
  </si>
  <si>
    <t xml:space="preserve">레벨 칸</t>
  </si>
  <si>
    <t xml:space="preserve">무기 레벨업</t>
  </si>
  <si>
    <t xml:space="preserve">무기 바 확인</t>
  </si>
  <si>
    <t xml:space="preserve">아이콘 아래 5칸 중 현재 레벨만큼 채워짐</t>
  </si>
  <si>
    <t xml:space="preserve">TC-053</t>
  </si>
  <si>
    <t xml:space="preserve">아이콘</t>
  </si>
  <si>
    <t xml:space="preserve">상점 아이콘</t>
  </si>
  <si>
    <t xml:space="preserve">무기 카드</t>
  </si>
  <si>
    <t xml:space="preserve">무기 스프라이트가 카드 상단에 표시</t>
  </si>
  <si>
    <r>
      <rPr>
        <sz val="10"/>
        <rFont val="Arial"/>
        <family val="2"/>
        <charset val="1"/>
      </rPr>
      <t xml:space="preserve">Fail → ShopCatalog </t>
    </r>
    <r>
      <rPr>
        <sz val="10"/>
        <rFont val="Noto Sans CJK SC"/>
        <family val="2"/>
      </rPr>
      <t xml:space="preserve">단일 출처화</t>
    </r>
    <r>
      <rPr>
        <sz val="10"/>
        <rFont val="Arial"/>
        <family val="2"/>
        <charset val="1"/>
      </rPr>
      <t xml:space="preserve">, </t>
    </r>
    <r>
      <rPr>
        <sz val="10"/>
        <rFont val="Noto Sans CJK SC"/>
        <family val="2"/>
      </rPr>
      <t xml:space="preserve">재검증 </t>
    </r>
    <r>
      <rPr>
        <sz val="10"/>
        <rFont val="Arial"/>
        <family val="2"/>
        <charset val="1"/>
      </rPr>
      <t xml:space="preserve">Pass</t>
    </r>
  </si>
  <si>
    <t xml:space="preserve">TC-054</t>
  </si>
  <si>
    <r>
      <rPr>
        <sz val="10"/>
        <rFont val="Arial"/>
        <family val="2"/>
        <charset val="1"/>
      </rPr>
      <t xml:space="preserve">HUD </t>
    </r>
    <r>
      <rPr>
        <sz val="10"/>
        <rFont val="Noto Sans CJK SC"/>
        <family val="2"/>
      </rPr>
      <t xml:space="preserve">아이콘</t>
    </r>
  </si>
  <si>
    <t xml:space="preserve">무기 아이콘 표시(아이템 아이콘 없으면 빈 프레임=정상)</t>
  </si>
  <si>
    <t xml:space="preserve">TC-055</t>
  </si>
  <si>
    <t xml:space="preserve">무기</t>
  </si>
  <si>
    <t xml:space="preserve">최대 레벨</t>
  </si>
  <si>
    <t xml:space="preserve">같은 무기 반복 구매</t>
  </si>
  <si>
    <r>
      <rPr>
        <sz val="10"/>
        <rFont val="Arial"/>
        <family val="2"/>
        <charset val="1"/>
      </rPr>
      <t xml:space="preserve">Lv5 </t>
    </r>
    <r>
      <rPr>
        <sz val="10"/>
        <rFont val="Noto Sans CJK SC"/>
        <family val="2"/>
      </rPr>
      <t xml:space="preserve">도달</t>
    </r>
  </si>
  <si>
    <r>
      <rPr>
        <sz val="10"/>
        <rFont val="Arial"/>
        <family val="2"/>
        <charset val="1"/>
      </rPr>
      <t xml:space="preserve">Lv5</t>
    </r>
    <r>
      <rPr>
        <sz val="10"/>
        <rFont val="Noto Sans CJK SC"/>
        <family val="2"/>
      </rPr>
      <t xml:space="preserve">에서 레벨 정지</t>
    </r>
    <r>
      <rPr>
        <sz val="10"/>
        <rFont val="Arial"/>
        <family val="2"/>
        <charset val="1"/>
      </rPr>
      <t xml:space="preserve">(</t>
    </r>
    <r>
      <rPr>
        <sz val="10"/>
        <rFont val="Noto Sans CJK SC"/>
        <family val="2"/>
      </rPr>
      <t xml:space="preserve">더 이상 안 오름</t>
    </r>
    <r>
      <rPr>
        <sz val="10"/>
        <rFont val="Arial"/>
        <family val="2"/>
        <charset val="1"/>
      </rPr>
      <t xml:space="preserve">)</t>
    </r>
  </si>
  <si>
    <t xml:space="preserve">TC-056</t>
  </si>
  <si>
    <t xml:space="preserve">탐색</t>
  </si>
  <si>
    <t xml:space="preserve">상점 전용 무기</t>
  </si>
  <si>
    <t xml:space="preserve">로비 밖 무기 4종 중 1종이 상점에 뜸</t>
  </si>
  <si>
    <t xml:space="preserve">구매 후 레벨업까지 진행</t>
  </si>
  <si>
    <t xml:space="preserve">장착·레벨업·세트 분류·HUD 아이콘이 로비 무기와 동일하게 정상</t>
  </si>
  <si>
    <t xml:space="preserve">TC-057</t>
  </si>
  <si>
    <t xml:space="preserve">골드 경계(같음)</t>
  </si>
  <si>
    <t xml:space="preserve">골드 = 카드 가격</t>
  </si>
  <si>
    <t xml:space="preserve">구매 성공, 골드 0, 음수 표시 없음</t>
  </si>
  <si>
    <t xml:space="preserve">TC-058</t>
  </si>
  <si>
    <t xml:space="preserve">골드 경계(1 부족)</t>
  </si>
  <si>
    <t xml:space="preserve">골드 = 가격 - 1</t>
  </si>
  <si>
    <t xml:space="preserve">카드 확인 및 구매 시도</t>
  </si>
  <si>
    <t xml:space="preserve">구매 버튼 비활성, 골드 변화 없음</t>
  </si>
  <si>
    <t xml:space="preserve">TC-059</t>
  </si>
  <si>
    <t xml:space="preserve">리롤 경계</t>
  </si>
  <si>
    <t xml:space="preserve">골드 = 리롤 비용</t>
  </si>
  <si>
    <t xml:space="preserve">돌리기 클릭</t>
  </si>
  <si>
    <t xml:space="preserve">리롤 성공, 골드 0, 이후 돌리기 비활성</t>
  </si>
  <si>
    <t xml:space="preserve">TC-060</t>
  </si>
  <si>
    <t xml:space="preserve">구매 연타</t>
  </si>
  <si>
    <t xml:space="preserve">골드 충분·카드 1장</t>
  </si>
  <si>
    <t xml:space="preserve">구매 버튼을 빠르게 여러 번 클릭</t>
  </si>
  <si>
    <r>
      <rPr>
        <sz val="10"/>
        <rFont val="Arial"/>
        <family val="2"/>
        <charset val="1"/>
      </rPr>
      <t xml:space="preserve">1</t>
    </r>
    <r>
      <rPr>
        <sz val="10"/>
        <rFont val="Noto Sans CJK SC"/>
        <family val="2"/>
      </rPr>
      <t xml:space="preserve">회만 구매되고 골드도 </t>
    </r>
    <r>
      <rPr>
        <sz val="10"/>
        <rFont val="Arial"/>
        <family val="2"/>
        <charset val="1"/>
      </rPr>
      <t xml:space="preserve">1</t>
    </r>
    <r>
      <rPr>
        <sz val="10"/>
        <rFont val="Noto Sans CJK SC"/>
        <family val="2"/>
      </rPr>
      <t xml:space="preserve">회만 차감</t>
    </r>
  </si>
  <si>
    <t xml:space="preserve">TC-061</t>
  </si>
  <si>
    <t xml:space="preserve">시작 연타</t>
  </si>
  <si>
    <t xml:space="preserve">게임 시작 버튼을 빠르게 여러 번 클릭</t>
  </si>
  <si>
    <t xml:space="preserve">게임 씬이 1번만 로드됨(중복 로드·에러 없음)</t>
  </si>
  <si>
    <t xml:space="preserve">TC-062</t>
  </si>
  <si>
    <t xml:space="preserve">웨이브 종료 순간 사망</t>
  </si>
  <si>
    <t xml:space="preserve">웨이브 종료 직전, HP 낮음</t>
  </si>
  <si>
    <t xml:space="preserve">타이머 0과 동시에 HP 0이 되도록 피격</t>
  </si>
  <si>
    <t xml:space="preserve">게임오버와 상점이 동시에 뜨지 않음 (우선순위는 기획 확인 필요)</t>
  </si>
  <si>
    <t xml:space="preserve">상점 위에 게임오버 창이 겹쳐 표시됨. 상점 버튼은 안 눌리고 다시 시작/로비로만 동작</t>
  </si>
  <si>
    <t xml:space="preserve">원인: 사망(물리)과 타이머 종료(Update)가 같은 프레임 / 수정 a93085f / F1 "웨이브 종료 + 즉사 동시"로 재현</t>
  </si>
  <si>
    <t xml:space="preserve">SCRUM-6</t>
  </si>
  <si>
    <t xml:space="preserve">TC-063</t>
  </si>
  <si>
    <t xml:space="preserve">보스 처치 순간 피격</t>
  </si>
  <si>
    <t xml:space="preserve">보스 HP 낮음, 플레이어 HP 낮음</t>
  </si>
  <si>
    <t xml:space="preserve">보스 처치와 동시에 피격</t>
  </si>
  <si>
    <t xml:space="preserve">보상·게임오버 처리가 한 번만 일어나고 멈춤 없음</t>
  </si>
  <si>
    <t xml:space="preserve">TC-064</t>
  </si>
  <si>
    <t xml:space="preserve">재시작 상태 초기화</t>
  </si>
  <si>
    <t xml:space="preserve">게임오버 후 로비 복귀</t>
  </si>
  <si>
    <t xml:space="preserve">다른 무기 선택 후 시작</t>
  </si>
  <si>
    <t xml:space="preserve">골드·무기·스탯·스테이지가 모두 초기값, 이전 판 무기 없음</t>
  </si>
  <si>
    <t xml:space="preserve">TC-065</t>
  </si>
  <si>
    <t xml:space="preserve">상점 중 일시정지</t>
  </si>
  <si>
    <t xml:space="preserve">상점 열림</t>
  </si>
  <si>
    <t xml:space="preserve">상점에서 10초 이상 대기 후 다음 라운드</t>
  </si>
  <si>
    <t xml:space="preserve">대기 중 웨이브 타이머·몬스터·코인이 멈춰 있음</t>
  </si>
  <si>
    <t xml:space="preserve">TC-066</t>
  </si>
  <si>
    <t xml:space="preserve">보스 라운드 제한시간</t>
  </si>
  <si>
    <t xml:space="preserve">일반 스테이지 진행 중</t>
  </si>
  <si>
    <t xml:space="preserve">F1 → 보스 스테이지로 점프</t>
  </si>
  <si>
    <t xml:space="preserve">시작 시간이 30초(기본 20초 + 10초)로 표시</t>
  </si>
  <si>
    <t xml:space="preserve">신규 사양(SCRUM-7)</t>
  </si>
  <si>
    <t xml:space="preserve">SCRUM-7</t>
  </si>
  <si>
    <t xml:space="preserve">TC-067</t>
  </si>
  <si>
    <t xml:space="preserve">일반 라운드 시간 유지</t>
  </si>
  <si>
    <t xml:space="preserve">보스 라운드가 아닌 스테이지(예: 4, 6)</t>
  </si>
  <si>
    <t xml:space="preserve">웨이브 시작 시간 확인</t>
  </si>
  <si>
    <t xml:space="preserve">20초로 시작(보너스 시간 없음)</t>
  </si>
  <si>
    <t xml:space="preserve">TC-068</t>
  </si>
  <si>
    <t xml:space="preserve">처치 시 카운트다운</t>
  </si>
  <si>
    <t xml:space="preserve">보스 라운드, 남은 시간 3초 이상</t>
  </si>
  <si>
    <t xml:space="preserve">보스 처치</t>
  </si>
  <si>
    <t xml:space="preserve">남은 시간이 3으로 바뀌고 3·2·1 표시 후 상점 열림</t>
  </si>
  <si>
    <t xml:space="preserve">TC-069</t>
  </si>
  <si>
    <t xml:space="preserve">처치 시 잡몹 정리</t>
  </si>
  <si>
    <t xml:space="preserve">보스 라운드, 잡몹 존재</t>
  </si>
  <si>
    <t xml:space="preserve">잡몹이 즉시 사라지고 카운트다운 중 새로 스폰되지 않음</t>
  </si>
  <si>
    <t xml:space="preserve">TC-070</t>
  </si>
  <si>
    <t xml:space="preserve">처치 코인 회수</t>
  </si>
  <si>
    <t xml:space="preserve">보스 라운드, 화면에 코인 흩어짐</t>
  </si>
  <si>
    <t xml:space="preserve">보스 처치 후 카운트다운 대기</t>
  </si>
  <si>
    <t xml:space="preserve">화면의 코인이 거리와 무관하게 전부 회수되고 상점 골드에 반영</t>
  </si>
  <si>
    <t xml:space="preserve">TC-071</t>
  </si>
  <si>
    <t xml:space="preserve">3초 미만 처치</t>
  </si>
  <si>
    <t xml:space="preserve">보스 라운드, 남은 시간 3초 미만</t>
  </si>
  <si>
    <t xml:space="preserve">남은 시간 1~2초에 보스 처치</t>
  </si>
  <si>
    <t xml:space="preserve">남은 시간이 3초 미만이어도 3초로 맞춰져 3·2·1 후 상점 열림</t>
  </si>
  <si>
    <r>
      <rPr>
        <sz val="10"/>
        <rFont val="Arial"/>
        <family val="2"/>
        <charset val="1"/>
      </rPr>
      <t xml:space="preserve">1~2</t>
    </r>
    <r>
      <rPr>
        <sz val="10"/>
        <rFont val="Noto Sans CJK SC"/>
        <family val="2"/>
      </rPr>
      <t xml:space="preserve">초 남았을 때 처치 → </t>
    </r>
    <r>
      <rPr>
        <sz val="10"/>
        <rFont val="Arial"/>
        <family val="2"/>
        <charset val="1"/>
      </rPr>
      <t xml:space="preserve">3</t>
    </r>
    <r>
      <rPr>
        <sz val="10"/>
        <rFont val="Noto Sans CJK SC"/>
        <family val="2"/>
      </rPr>
      <t xml:space="preserve">초로 늘지 않고 남은 시간부터 카운트다운</t>
    </r>
  </si>
  <si>
    <t xml:space="preserve">기대 결과를 구현 기준으로 잘못 적었음 → 사양(항상 3초) 확인 후 정정 / 수정 0a12019</t>
  </si>
  <si>
    <t xml:space="preserve">TC-072</t>
  </si>
  <si>
    <t xml:space="preserve">보스 실패 게임오버</t>
  </si>
  <si>
    <t xml:space="preserve">보스 라운드, 보스 생존</t>
  </si>
  <si>
    <t xml:space="preserve">F1 → 남은 시간 3초로 → 시간 종료까지 대기</t>
  </si>
  <si>
    <t xml:space="preserve">게임오버 창 + "보스를 처치하지 못했습니다" 표시, 상점 안 열림</t>
  </si>
  <si>
    <t xml:space="preserve">TC-073</t>
  </si>
  <si>
    <t xml:space="preserve">사망 시 사유 숨김</t>
  </si>
  <si>
    <t xml:space="preserve">아무 라운드</t>
  </si>
  <si>
    <t xml:space="preserve">F1 → 즉사</t>
  </si>
  <si>
    <t xml:space="preserve">게임오버 창에 사유 줄이 표시되지 않음</t>
  </si>
  <si>
    <t xml:space="preserve">TC-074</t>
  </si>
  <si>
    <t xml:space="preserve">카운트다운 중 사망</t>
  </si>
  <si>
    <t xml:space="preserve">보스 처치 후 카운트다운 중</t>
  </si>
  <si>
    <t xml:space="preserve">카운트다운 중 즉사(F1)</t>
  </si>
  <si>
    <t xml:space="preserve">게임오버 창만 표시되고 상점 안 열림</t>
  </si>
  <si>
    <t xml:space="preserve">테스트 요약</t>
  </si>
  <si>
    <t xml:space="preserve">대분류별 케이스 수</t>
  </si>
  <si>
    <t xml:space="preserve">개수</t>
  </si>
  <si>
    <t xml:space="preserve">전체 케이스</t>
  </si>
  <si>
    <t xml:space="preserve">N/A</t>
  </si>
  <si>
    <t xml:space="preserve">보류</t>
  </si>
  <si>
    <t xml:space="preserve">미실행</t>
  </si>
  <si>
    <t xml:space="preserve">진행률(Pass/전체)</t>
  </si>
  <si>
    <t xml:space="preserve">Jira 연결 TC 수</t>
  </si>
  <si>
    <t xml:space="preserve">1회차 대비</t>
  </si>
  <si>
    <r>
      <rPr>
        <sz val="11"/>
        <rFont val="Arial"/>
        <family val="2"/>
        <charset val="1"/>
      </rPr>
      <t xml:space="preserve">1</t>
    </r>
    <r>
      <rPr>
        <sz val="11"/>
        <rFont val="Noto Sans CJK SC"/>
        <family val="2"/>
      </rPr>
      <t xml:space="preserve">회차</t>
    </r>
    <r>
      <rPr>
        <sz val="11"/>
        <rFont val="Arial"/>
        <family val="2"/>
        <charset val="1"/>
      </rPr>
      <t xml:space="preserve">: Pass 47 / Fail 6 / </t>
    </r>
    <r>
      <rPr>
        <sz val="11"/>
        <rFont val="Noto Sans CJK SC"/>
        <family val="2"/>
      </rPr>
      <t xml:space="preserve">보류 </t>
    </r>
    <r>
      <rPr>
        <sz val="11"/>
        <rFont val="Arial"/>
        <family val="2"/>
        <charset val="1"/>
      </rPr>
      <t xml:space="preserve">1 / </t>
    </r>
    <r>
      <rPr>
        <sz val="11"/>
        <rFont val="Noto Sans CJK SC"/>
        <family val="2"/>
      </rPr>
      <t xml:space="preserve">미실행 </t>
    </r>
    <r>
      <rPr>
        <sz val="11"/>
        <rFont val="Arial"/>
        <family val="2"/>
        <charset val="1"/>
      </rPr>
      <t xml:space="preserve">1 (</t>
    </r>
    <r>
      <rPr>
        <sz val="11"/>
        <rFont val="Noto Sans CJK SC"/>
        <family val="2"/>
      </rPr>
      <t xml:space="preserve">전체 </t>
    </r>
    <r>
      <rPr>
        <sz val="11"/>
        <rFont val="Arial"/>
        <family val="2"/>
        <charset val="1"/>
      </rPr>
      <t xml:space="preserve">55)</t>
    </r>
  </si>
  <si>
    <t xml:space="preserve">발견 버그 재검증 Pass</t>
  </si>
  <si>
    <t xml:space="preserve">발견 버그 재검증 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</si>
</sst>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B57"/>
      <name val="Arial"/>
      <family val="2"/>
      <charset val="1"/>
    </font>
    <font>
      <b val="true"/>
      <sz val="16"/>
      <color rgb="FF1F3B57"/>
      <name val="Noto Sans CJK SC"/>
      <family val="2"/>
    </font>
    <font>
      <i val="true"/>
      <sz val="9"/>
      <color rgb="FF555555"/>
      <name val="Noto Sans CJK SC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FFFF"/>
      <name val="Noto Sans CJK SC"/>
      <family val="2"/>
      <charset val="1"/>
    </font>
    <font>
      <i val="true"/>
      <sz val="10"/>
      <color rgb="FF777777"/>
      <name val="Noto Sans CJK SC"/>
      <family val="2"/>
      <charset val="1"/>
    </font>
    <font>
      <i val="true"/>
      <sz val="10"/>
      <color rgb="FF777777"/>
      <name val="Arial"/>
      <family val="2"/>
      <charset val="1"/>
    </font>
    <font>
      <sz val="10"/>
      <name val="Arial"/>
      <family val="2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sz val="11"/>
      <color theme="1"/>
      <name val="Noto Sans CJK SC"/>
      <family val="2"/>
      <charset val="1"/>
    </font>
    <font>
      <b val="true"/>
      <sz val="16"/>
      <color rgb="FF1F3B57"/>
      <name val="Noto Sans CJK SC"/>
      <family val="2"/>
      <charset val="1"/>
    </font>
    <font>
      <b val="true"/>
      <sz val="12"/>
      <name val="Noto Sans CJK SC"/>
      <family val="2"/>
      <charset val="1"/>
    </font>
    <font>
      <b val="true"/>
      <sz val="11"/>
      <name val="Noto Sans CJK SC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sz val="11"/>
      <name val="Noto Sans CJK SC"/>
      <family val="2"/>
      <charset val="1"/>
    </font>
    <font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FF6DA"/>
        <bgColor rgb="FFF2F5F8"/>
      </patternFill>
    </fill>
    <fill>
      <patternFill patternType="solid">
        <fgColor rgb="FFF2F5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777777"/>
      <rgbColor rgb="FF9999FF"/>
      <rgbColor rgb="FF993366"/>
      <rgbColor rgb="FFFFF6DA"/>
      <rgbColor rgb="FFF2F5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8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3" topLeftCell="A56" activePane="bottomLeft" state="frozen"/>
      <selection pane="topLeft" activeCell="D1" activeCellId="0" sqref="D1"/>
      <selection pane="bottomLeft" activeCell="J37" activeCellId="0" sqref="J3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26"/>
    <col collapsed="false" customWidth="true" hidden="false" outlineLevel="0" max="6" min="6" style="1" width="40"/>
    <col collapsed="false" customWidth="true" hidden="false" outlineLevel="0" max="7" min="7" style="1" width="26"/>
    <col collapsed="false" customWidth="true" hidden="false" outlineLevel="0" max="8" min="8" style="1" width="10"/>
    <col collapsed="false" customWidth="true" hidden="false" outlineLevel="0" max="9" min="9" style="1" width="20"/>
    <col collapsed="false" customWidth="true" hidden="false" outlineLevel="0" max="10" min="10" style="1" width="30"/>
    <col collapsed="false" customWidth="true" hidden="false" outlineLevel="0" max="12" min="11" style="1" width="12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21.75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</row>
    <row r="4" customFormat="false" ht="15" hidden="false" customHeight="true" outlineLevel="0" collapsed="false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7" t="s">
        <v>21</v>
      </c>
      <c r="I4" s="6" t="s">
        <v>22</v>
      </c>
      <c r="J4" s="6"/>
      <c r="K4" s="6"/>
      <c r="L4" s="6"/>
    </row>
    <row r="5" customFormat="false" ht="29.25" hidden="false" customHeight="true" outlineLevel="0" collapsed="false">
      <c r="A5" s="8" t="s">
        <v>23</v>
      </c>
      <c r="B5" s="9" t="s">
        <v>24</v>
      </c>
      <c r="C5" s="9" t="s">
        <v>25</v>
      </c>
      <c r="D5" s="10" t="s">
        <v>26</v>
      </c>
      <c r="E5" s="10" t="s">
        <v>27</v>
      </c>
      <c r="F5" s="11" t="s">
        <v>28</v>
      </c>
      <c r="G5" s="11"/>
      <c r="H5" s="8" t="s">
        <v>21</v>
      </c>
      <c r="I5" s="11"/>
      <c r="J5" s="11"/>
      <c r="K5" s="11"/>
      <c r="L5" s="11"/>
    </row>
    <row r="6" customFormat="false" ht="29.25" hidden="false" customHeight="true" outlineLevel="0" collapsed="false">
      <c r="A6" s="12" t="s">
        <v>29</v>
      </c>
      <c r="B6" s="13" t="s">
        <v>24</v>
      </c>
      <c r="C6" s="13" t="s">
        <v>30</v>
      </c>
      <c r="D6" s="14" t="s">
        <v>31</v>
      </c>
      <c r="E6" s="14" t="s">
        <v>32</v>
      </c>
      <c r="F6" s="14" t="s">
        <v>33</v>
      </c>
      <c r="G6" s="11"/>
      <c r="H6" s="8" t="s">
        <v>21</v>
      </c>
      <c r="I6" s="11"/>
      <c r="J6" s="11"/>
      <c r="K6" s="11"/>
      <c r="L6" s="11"/>
    </row>
    <row r="7" customFormat="false" ht="15" hidden="false" customHeight="true" outlineLevel="0" collapsed="false">
      <c r="A7" s="8" t="s">
        <v>34</v>
      </c>
      <c r="B7" s="9" t="s">
        <v>24</v>
      </c>
      <c r="C7" s="9" t="s">
        <v>35</v>
      </c>
      <c r="D7" s="10" t="s">
        <v>36</v>
      </c>
      <c r="E7" s="11" t="s">
        <v>37</v>
      </c>
      <c r="F7" s="10" t="s">
        <v>38</v>
      </c>
      <c r="G7" s="11"/>
      <c r="H7" s="8" t="s">
        <v>21</v>
      </c>
      <c r="I7" s="11"/>
      <c r="J7" s="11"/>
      <c r="K7" s="11"/>
      <c r="L7" s="11"/>
    </row>
    <row r="8" customFormat="false" ht="15" hidden="false" customHeight="true" outlineLevel="0" collapsed="false">
      <c r="A8" s="12" t="s">
        <v>39</v>
      </c>
      <c r="B8" s="13" t="s">
        <v>24</v>
      </c>
      <c r="C8" s="13" t="s">
        <v>40</v>
      </c>
      <c r="D8" s="14" t="s">
        <v>41</v>
      </c>
      <c r="E8" s="15" t="s">
        <v>37</v>
      </c>
      <c r="F8" s="14" t="s">
        <v>42</v>
      </c>
      <c r="G8" s="11"/>
      <c r="H8" s="8" t="s">
        <v>21</v>
      </c>
      <c r="I8" s="11"/>
      <c r="J8" s="10" t="s">
        <v>43</v>
      </c>
      <c r="K8" s="11"/>
      <c r="L8" s="11"/>
    </row>
    <row r="9" customFormat="false" ht="15" hidden="false" customHeight="true" outlineLevel="0" collapsed="false">
      <c r="A9" s="8" t="s">
        <v>44</v>
      </c>
      <c r="B9" s="9" t="s">
        <v>24</v>
      </c>
      <c r="C9" s="9" t="s">
        <v>45</v>
      </c>
      <c r="D9" s="10" t="s">
        <v>31</v>
      </c>
      <c r="E9" s="11" t="s">
        <v>46</v>
      </c>
      <c r="F9" s="10" t="s">
        <v>47</v>
      </c>
      <c r="G9" s="11"/>
      <c r="H9" s="8" t="s">
        <v>21</v>
      </c>
      <c r="I9" s="11"/>
      <c r="J9" s="11"/>
      <c r="K9" s="11"/>
      <c r="L9" s="11"/>
    </row>
    <row r="10" customFormat="false" ht="15" hidden="false" customHeight="true" outlineLevel="0" collapsed="false">
      <c r="A10" s="12" t="s">
        <v>48</v>
      </c>
      <c r="B10" s="13" t="s">
        <v>49</v>
      </c>
      <c r="C10" s="13" t="s">
        <v>50</v>
      </c>
      <c r="D10" s="14" t="s">
        <v>51</v>
      </c>
      <c r="E10" s="15" t="s">
        <v>52</v>
      </c>
      <c r="F10" s="14" t="s">
        <v>53</v>
      </c>
      <c r="G10" s="11"/>
      <c r="H10" s="8" t="s">
        <v>21</v>
      </c>
      <c r="I10" s="11"/>
      <c r="J10" s="11"/>
      <c r="K10" s="11"/>
      <c r="L10" s="11"/>
    </row>
    <row r="11" customFormat="false" ht="15" hidden="false" customHeight="true" outlineLevel="0" collapsed="false">
      <c r="A11" s="8" t="s">
        <v>54</v>
      </c>
      <c r="B11" s="9" t="s">
        <v>49</v>
      </c>
      <c r="C11" s="9" t="s">
        <v>55</v>
      </c>
      <c r="D11" s="10" t="s">
        <v>56</v>
      </c>
      <c r="E11" s="10" t="s">
        <v>57</v>
      </c>
      <c r="F11" s="10" t="s">
        <v>58</v>
      </c>
      <c r="G11" s="11"/>
      <c r="H11" s="8" t="s">
        <v>21</v>
      </c>
      <c r="I11" s="11"/>
      <c r="J11" s="11" t="s">
        <v>59</v>
      </c>
      <c r="K11" s="11"/>
      <c r="L11" s="11"/>
    </row>
    <row r="12" customFormat="false" ht="15" hidden="false" customHeight="true" outlineLevel="0" collapsed="false">
      <c r="A12" s="12" t="s">
        <v>60</v>
      </c>
      <c r="B12" s="13" t="s">
        <v>15</v>
      </c>
      <c r="C12" s="13" t="s">
        <v>16</v>
      </c>
      <c r="D12" s="14" t="s">
        <v>17</v>
      </c>
      <c r="E12" s="14" t="s">
        <v>18</v>
      </c>
      <c r="F12" s="14" t="s">
        <v>61</v>
      </c>
      <c r="G12" s="11"/>
      <c r="H12" s="8" t="s">
        <v>21</v>
      </c>
      <c r="I12" s="11"/>
      <c r="J12" s="11"/>
      <c r="K12" s="11"/>
      <c r="L12" s="11"/>
    </row>
    <row r="13" customFormat="false" ht="15" hidden="false" customHeight="true" outlineLevel="0" collapsed="false">
      <c r="A13" s="8" t="s">
        <v>62</v>
      </c>
      <c r="B13" s="9" t="s">
        <v>15</v>
      </c>
      <c r="C13" s="9" t="s">
        <v>63</v>
      </c>
      <c r="D13" s="10" t="s">
        <v>64</v>
      </c>
      <c r="E13" s="10" t="s">
        <v>65</v>
      </c>
      <c r="F13" s="10" t="s">
        <v>66</v>
      </c>
      <c r="G13" s="11"/>
      <c r="H13" s="8" t="s">
        <v>21</v>
      </c>
      <c r="I13" s="11"/>
      <c r="J13" s="11"/>
      <c r="K13" s="11"/>
      <c r="L13" s="11"/>
    </row>
    <row r="14" customFormat="false" ht="15" hidden="false" customHeight="true" outlineLevel="0" collapsed="false">
      <c r="A14" s="12" t="s">
        <v>67</v>
      </c>
      <c r="B14" s="13" t="s">
        <v>15</v>
      </c>
      <c r="C14" s="13" t="s">
        <v>68</v>
      </c>
      <c r="D14" s="14" t="s">
        <v>69</v>
      </c>
      <c r="E14" s="14" t="s">
        <v>70</v>
      </c>
      <c r="F14" s="14" t="s">
        <v>71</v>
      </c>
      <c r="G14" s="11"/>
      <c r="H14" s="8" t="s">
        <v>21</v>
      </c>
      <c r="I14" s="11"/>
      <c r="J14" s="11"/>
      <c r="K14" s="11"/>
      <c r="L14" s="11"/>
    </row>
    <row r="15" customFormat="false" ht="15" hidden="false" customHeight="true" outlineLevel="0" collapsed="false">
      <c r="A15" s="8" t="s">
        <v>72</v>
      </c>
      <c r="B15" s="9" t="s">
        <v>15</v>
      </c>
      <c r="C15" s="9" t="s">
        <v>73</v>
      </c>
      <c r="D15" s="10" t="s">
        <v>74</v>
      </c>
      <c r="E15" s="10" t="s">
        <v>75</v>
      </c>
      <c r="F15" s="10" t="s">
        <v>76</v>
      </c>
      <c r="G15" s="11"/>
      <c r="H15" s="8" t="s">
        <v>21</v>
      </c>
      <c r="I15" s="11"/>
      <c r="J15" s="11"/>
      <c r="K15" s="11"/>
      <c r="L15" s="11"/>
    </row>
    <row r="16" customFormat="false" ht="15" hidden="false" customHeight="true" outlineLevel="0" collapsed="false">
      <c r="A16" s="12" t="s">
        <v>77</v>
      </c>
      <c r="B16" s="13" t="s">
        <v>15</v>
      </c>
      <c r="C16" s="13" t="s">
        <v>78</v>
      </c>
      <c r="D16" s="14" t="s">
        <v>79</v>
      </c>
      <c r="E16" s="14" t="s">
        <v>80</v>
      </c>
      <c r="F16" s="14" t="s">
        <v>81</v>
      </c>
      <c r="G16" s="11"/>
      <c r="H16" s="8" t="s">
        <v>21</v>
      </c>
      <c r="I16" s="11"/>
      <c r="J16" s="11"/>
      <c r="K16" s="11"/>
      <c r="L16" s="11"/>
    </row>
    <row r="17" customFormat="false" ht="15" hidden="false" customHeight="true" outlineLevel="0" collapsed="false">
      <c r="A17" s="8" t="s">
        <v>82</v>
      </c>
      <c r="B17" s="9" t="s">
        <v>15</v>
      </c>
      <c r="C17" s="9" t="s">
        <v>83</v>
      </c>
      <c r="D17" s="10" t="s">
        <v>84</v>
      </c>
      <c r="E17" s="10" t="s">
        <v>85</v>
      </c>
      <c r="F17" s="10" t="s">
        <v>86</v>
      </c>
      <c r="G17" s="11"/>
      <c r="H17" s="8" t="s">
        <v>21</v>
      </c>
      <c r="I17" s="11"/>
      <c r="J17" s="11"/>
      <c r="K17" s="11"/>
      <c r="L17" s="11"/>
    </row>
    <row r="18" customFormat="false" ht="15" hidden="false" customHeight="true" outlineLevel="0" collapsed="false">
      <c r="A18" s="12" t="s">
        <v>87</v>
      </c>
      <c r="B18" s="13" t="s">
        <v>88</v>
      </c>
      <c r="C18" s="13" t="s">
        <v>89</v>
      </c>
      <c r="D18" s="14" t="s">
        <v>90</v>
      </c>
      <c r="E18" s="14" t="s">
        <v>91</v>
      </c>
      <c r="F18" s="14" t="s">
        <v>92</v>
      </c>
      <c r="G18" s="11"/>
      <c r="H18" s="8" t="s">
        <v>21</v>
      </c>
      <c r="I18" s="11"/>
      <c r="J18" s="11"/>
      <c r="K18" s="11"/>
      <c r="L18" s="11"/>
    </row>
    <row r="19" customFormat="false" ht="15" hidden="false" customHeight="true" outlineLevel="0" collapsed="false">
      <c r="A19" s="8" t="s">
        <v>93</v>
      </c>
      <c r="B19" s="9" t="s">
        <v>88</v>
      </c>
      <c r="C19" s="9" t="s">
        <v>94</v>
      </c>
      <c r="D19" s="10" t="s">
        <v>95</v>
      </c>
      <c r="E19" s="10" t="s">
        <v>96</v>
      </c>
      <c r="F19" s="10" t="s">
        <v>97</v>
      </c>
      <c r="G19" s="11"/>
      <c r="H19" s="8" t="s">
        <v>21</v>
      </c>
      <c r="I19" s="11"/>
      <c r="J19" s="11"/>
      <c r="K19" s="11"/>
      <c r="L19" s="11"/>
    </row>
    <row r="20" customFormat="false" ht="15" hidden="false" customHeight="true" outlineLevel="0" collapsed="false">
      <c r="A20" s="12" t="s">
        <v>98</v>
      </c>
      <c r="B20" s="13" t="s">
        <v>88</v>
      </c>
      <c r="C20" s="13" t="s">
        <v>99</v>
      </c>
      <c r="D20" s="14" t="s">
        <v>100</v>
      </c>
      <c r="E20" s="14" t="s">
        <v>101</v>
      </c>
      <c r="F20" s="14" t="s">
        <v>102</v>
      </c>
      <c r="G20" s="11"/>
      <c r="H20" s="8" t="s">
        <v>21</v>
      </c>
      <c r="I20" s="11"/>
      <c r="J20" s="11"/>
      <c r="K20" s="11"/>
      <c r="L20" s="11"/>
    </row>
    <row r="21" customFormat="false" ht="29.25" hidden="false" customHeight="true" outlineLevel="0" collapsed="false">
      <c r="A21" s="8" t="s">
        <v>103</v>
      </c>
      <c r="B21" s="9" t="s">
        <v>88</v>
      </c>
      <c r="C21" s="9" t="s">
        <v>104</v>
      </c>
      <c r="D21" s="10" t="s">
        <v>105</v>
      </c>
      <c r="E21" s="10" t="s">
        <v>106</v>
      </c>
      <c r="F21" s="10" t="s">
        <v>107</v>
      </c>
      <c r="G21" s="11"/>
      <c r="H21" s="8" t="s">
        <v>21</v>
      </c>
      <c r="I21" s="11"/>
      <c r="J21" s="11"/>
      <c r="K21" s="11"/>
      <c r="L21" s="11"/>
    </row>
    <row r="22" customFormat="false" ht="15" hidden="false" customHeight="true" outlineLevel="0" collapsed="false">
      <c r="A22" s="12" t="s">
        <v>108</v>
      </c>
      <c r="B22" s="13" t="s">
        <v>109</v>
      </c>
      <c r="C22" s="13" t="s">
        <v>110</v>
      </c>
      <c r="D22" s="14" t="s">
        <v>111</v>
      </c>
      <c r="E22" s="15" t="s">
        <v>112</v>
      </c>
      <c r="F22" s="14" t="s">
        <v>113</v>
      </c>
      <c r="G22" s="11"/>
      <c r="H22" s="8" t="s">
        <v>21</v>
      </c>
      <c r="I22" s="11"/>
      <c r="J22" s="11" t="s">
        <v>114</v>
      </c>
      <c r="K22" s="11"/>
      <c r="L22" s="11"/>
    </row>
    <row r="23" customFormat="false" ht="15" hidden="false" customHeight="true" outlineLevel="0" collapsed="false">
      <c r="A23" s="8" t="s">
        <v>115</v>
      </c>
      <c r="B23" s="9" t="s">
        <v>88</v>
      </c>
      <c r="C23" s="9" t="s">
        <v>116</v>
      </c>
      <c r="D23" s="10" t="s">
        <v>117</v>
      </c>
      <c r="E23" s="10" t="s">
        <v>118</v>
      </c>
      <c r="F23" s="10" t="s">
        <v>119</v>
      </c>
      <c r="G23" s="11"/>
      <c r="H23" s="8" t="s">
        <v>21</v>
      </c>
      <c r="I23" s="11"/>
      <c r="J23" s="11"/>
      <c r="K23" s="11"/>
      <c r="L23" s="11"/>
    </row>
    <row r="24" customFormat="false" ht="15" hidden="false" customHeight="true" outlineLevel="0" collapsed="false">
      <c r="A24" s="12" t="s">
        <v>120</v>
      </c>
      <c r="B24" s="13" t="s">
        <v>121</v>
      </c>
      <c r="C24" s="13" t="s">
        <v>122</v>
      </c>
      <c r="D24" s="14" t="s">
        <v>123</v>
      </c>
      <c r="E24" s="15" t="s">
        <v>124</v>
      </c>
      <c r="F24" s="14" t="s">
        <v>125</v>
      </c>
      <c r="G24" s="11"/>
      <c r="H24" s="8" t="s">
        <v>21</v>
      </c>
      <c r="I24" s="11"/>
      <c r="J24" s="11"/>
      <c r="K24" s="11"/>
      <c r="L24" s="11"/>
    </row>
    <row r="25" customFormat="false" ht="15" hidden="false" customHeight="true" outlineLevel="0" collapsed="false">
      <c r="A25" s="8" t="s">
        <v>126</v>
      </c>
      <c r="B25" s="9" t="s">
        <v>121</v>
      </c>
      <c r="C25" s="9" t="s">
        <v>127</v>
      </c>
      <c r="D25" s="10" t="s">
        <v>123</v>
      </c>
      <c r="E25" s="10" t="s">
        <v>128</v>
      </c>
      <c r="F25" s="10" t="s">
        <v>129</v>
      </c>
      <c r="G25" s="11"/>
      <c r="H25" s="8" t="s">
        <v>21</v>
      </c>
      <c r="I25" s="11"/>
      <c r="J25" s="11"/>
      <c r="K25" s="11"/>
      <c r="L25" s="11"/>
    </row>
    <row r="26" customFormat="false" ht="15" hidden="false" customHeight="true" outlineLevel="0" collapsed="false">
      <c r="A26" s="12" t="s">
        <v>130</v>
      </c>
      <c r="B26" s="13" t="s">
        <v>131</v>
      </c>
      <c r="C26" s="13" t="s">
        <v>132</v>
      </c>
      <c r="D26" s="14" t="s">
        <v>133</v>
      </c>
      <c r="E26" s="15" t="s">
        <v>134</v>
      </c>
      <c r="F26" s="14" t="s">
        <v>135</v>
      </c>
      <c r="G26" s="11"/>
      <c r="H26" s="8" t="s">
        <v>21</v>
      </c>
      <c r="I26" s="11"/>
      <c r="J26" s="11"/>
      <c r="K26" s="11"/>
      <c r="L26" s="11"/>
    </row>
    <row r="27" customFormat="false" ht="15" hidden="false" customHeight="true" outlineLevel="0" collapsed="false">
      <c r="A27" s="8" t="s">
        <v>136</v>
      </c>
      <c r="B27" s="16" t="s">
        <v>137</v>
      </c>
      <c r="C27" s="9" t="s">
        <v>138</v>
      </c>
      <c r="D27" s="10" t="s">
        <v>139</v>
      </c>
      <c r="E27" s="10" t="s">
        <v>140</v>
      </c>
      <c r="F27" s="10" t="s">
        <v>141</v>
      </c>
      <c r="G27" s="11"/>
      <c r="H27" s="8" t="s">
        <v>21</v>
      </c>
      <c r="I27" s="11"/>
      <c r="J27" s="11"/>
      <c r="K27" s="11"/>
      <c r="L27" s="11"/>
    </row>
    <row r="28" customFormat="false" ht="15" hidden="false" customHeight="true" outlineLevel="0" collapsed="false">
      <c r="A28" s="12" t="s">
        <v>142</v>
      </c>
      <c r="B28" s="13" t="s">
        <v>143</v>
      </c>
      <c r="C28" s="13" t="s">
        <v>144</v>
      </c>
      <c r="D28" s="14" t="s">
        <v>145</v>
      </c>
      <c r="E28" s="15" t="s">
        <v>146</v>
      </c>
      <c r="F28" s="14" t="s">
        <v>147</v>
      </c>
      <c r="G28" s="11"/>
      <c r="H28" s="8" t="s">
        <v>21</v>
      </c>
      <c r="I28" s="11"/>
      <c r="J28" s="11"/>
      <c r="K28" s="11"/>
      <c r="L28" s="11"/>
    </row>
    <row r="29" customFormat="false" ht="15" hidden="false" customHeight="true" outlineLevel="0" collapsed="false">
      <c r="A29" s="8" t="s">
        <v>148</v>
      </c>
      <c r="B29" s="9" t="s">
        <v>144</v>
      </c>
      <c r="C29" s="9" t="s">
        <v>149</v>
      </c>
      <c r="D29" s="10" t="s">
        <v>150</v>
      </c>
      <c r="E29" s="11" t="s">
        <v>151</v>
      </c>
      <c r="F29" s="10" t="s">
        <v>152</v>
      </c>
      <c r="G29" s="11"/>
      <c r="H29" s="8" t="s">
        <v>21</v>
      </c>
      <c r="I29" s="11"/>
      <c r="J29" s="11"/>
      <c r="K29" s="11"/>
      <c r="L29" s="11"/>
    </row>
    <row r="30" customFormat="false" ht="15" hidden="false" customHeight="true" outlineLevel="0" collapsed="false">
      <c r="A30" s="12" t="s">
        <v>153</v>
      </c>
      <c r="B30" s="13" t="s">
        <v>144</v>
      </c>
      <c r="C30" s="13" t="s">
        <v>154</v>
      </c>
      <c r="D30" s="14" t="s">
        <v>150</v>
      </c>
      <c r="E30" s="15" t="s">
        <v>155</v>
      </c>
      <c r="F30" s="15" t="s">
        <v>156</v>
      </c>
      <c r="G30" s="11"/>
      <c r="H30" s="8" t="s">
        <v>21</v>
      </c>
      <c r="I30" s="11"/>
      <c r="J30" s="11"/>
      <c r="K30" s="11"/>
      <c r="L30" s="11"/>
    </row>
    <row r="31" customFormat="false" ht="15" hidden="false" customHeight="true" outlineLevel="0" collapsed="false">
      <c r="A31" s="8" t="s">
        <v>157</v>
      </c>
      <c r="B31" s="9" t="s">
        <v>158</v>
      </c>
      <c r="C31" s="9" t="s">
        <v>159</v>
      </c>
      <c r="D31" s="10" t="s">
        <v>118</v>
      </c>
      <c r="E31" s="10" t="s">
        <v>160</v>
      </c>
      <c r="F31" s="10" t="s">
        <v>161</v>
      </c>
      <c r="G31" s="11"/>
      <c r="H31" s="8" t="s">
        <v>21</v>
      </c>
      <c r="I31" s="11"/>
      <c r="J31" s="11"/>
      <c r="K31" s="11"/>
      <c r="L31" s="11"/>
    </row>
    <row r="32" customFormat="false" ht="15" hidden="false" customHeight="true" outlineLevel="0" collapsed="false">
      <c r="A32" s="12" t="s">
        <v>162</v>
      </c>
      <c r="B32" s="13" t="s">
        <v>158</v>
      </c>
      <c r="C32" s="13" t="s">
        <v>163</v>
      </c>
      <c r="D32" s="14" t="s">
        <v>164</v>
      </c>
      <c r="E32" s="14" t="s">
        <v>165</v>
      </c>
      <c r="F32" s="14" t="s">
        <v>166</v>
      </c>
      <c r="G32" s="11"/>
      <c r="H32" s="8" t="s">
        <v>21</v>
      </c>
      <c r="I32" s="11"/>
      <c r="J32" s="11" t="s">
        <v>167</v>
      </c>
      <c r="K32" s="11"/>
      <c r="L32" s="11"/>
    </row>
    <row r="33" customFormat="false" ht="15" hidden="false" customHeight="true" outlineLevel="0" collapsed="false">
      <c r="A33" s="8" t="s">
        <v>168</v>
      </c>
      <c r="B33" s="9" t="s">
        <v>158</v>
      </c>
      <c r="C33" s="16" t="s">
        <v>169</v>
      </c>
      <c r="D33" s="10" t="s">
        <v>170</v>
      </c>
      <c r="E33" s="10" t="s">
        <v>171</v>
      </c>
      <c r="F33" s="11" t="s">
        <v>172</v>
      </c>
      <c r="G33" s="11"/>
      <c r="H33" s="8" t="s">
        <v>21</v>
      </c>
      <c r="I33" s="11"/>
      <c r="J33" s="11"/>
      <c r="K33" s="11"/>
      <c r="L33" s="11"/>
    </row>
    <row r="34" customFormat="false" ht="15" hidden="false" customHeight="true" outlineLevel="0" collapsed="false">
      <c r="A34" s="12" t="s">
        <v>173</v>
      </c>
      <c r="B34" s="13" t="s">
        <v>174</v>
      </c>
      <c r="C34" s="13" t="s">
        <v>175</v>
      </c>
      <c r="D34" s="14" t="s">
        <v>176</v>
      </c>
      <c r="E34" s="14" t="s">
        <v>177</v>
      </c>
      <c r="F34" s="14" t="s">
        <v>178</v>
      </c>
      <c r="G34" s="10" t="s">
        <v>179</v>
      </c>
      <c r="H34" s="8" t="s">
        <v>180</v>
      </c>
      <c r="I34" s="17" t="s">
        <v>181</v>
      </c>
      <c r="J34" s="11"/>
      <c r="K34" s="1" t="s">
        <v>182</v>
      </c>
      <c r="L34" s="18" t="s">
        <v>21</v>
      </c>
    </row>
    <row r="35" customFormat="false" ht="15" hidden="false" customHeight="true" outlineLevel="0" collapsed="false">
      <c r="A35" s="8" t="s">
        <v>183</v>
      </c>
      <c r="B35" s="9" t="s">
        <v>174</v>
      </c>
      <c r="C35" s="9" t="s">
        <v>184</v>
      </c>
      <c r="D35" s="10" t="s">
        <v>185</v>
      </c>
      <c r="E35" s="10" t="s">
        <v>186</v>
      </c>
      <c r="F35" s="11" t="s">
        <v>187</v>
      </c>
      <c r="G35" s="11"/>
      <c r="H35" s="8" t="s">
        <v>21</v>
      </c>
      <c r="I35" s="11"/>
      <c r="J35" s="11"/>
      <c r="K35" s="11"/>
      <c r="L35" s="11"/>
    </row>
    <row r="36" customFormat="false" ht="15" hidden="false" customHeight="true" outlineLevel="0" collapsed="false">
      <c r="A36" s="12" t="s">
        <v>188</v>
      </c>
      <c r="B36" s="13" t="s">
        <v>174</v>
      </c>
      <c r="C36" s="13" t="s">
        <v>189</v>
      </c>
      <c r="D36" s="14" t="s">
        <v>190</v>
      </c>
      <c r="E36" s="14" t="s">
        <v>186</v>
      </c>
      <c r="F36" s="15" t="s">
        <v>191</v>
      </c>
      <c r="G36" s="11"/>
      <c r="H36" s="8" t="s">
        <v>21</v>
      </c>
      <c r="I36" s="11"/>
      <c r="J36" s="11"/>
      <c r="K36" s="11"/>
      <c r="L36" s="11"/>
    </row>
    <row r="37" customFormat="false" ht="15" hidden="false" customHeight="true" outlineLevel="0" collapsed="false">
      <c r="A37" s="8" t="s">
        <v>192</v>
      </c>
      <c r="B37" s="9" t="s">
        <v>174</v>
      </c>
      <c r="C37" s="9" t="s">
        <v>193</v>
      </c>
      <c r="D37" s="10" t="s">
        <v>194</v>
      </c>
      <c r="E37" s="10" t="s">
        <v>195</v>
      </c>
      <c r="F37" s="10" t="s">
        <v>196</v>
      </c>
      <c r="G37" s="11"/>
      <c r="H37" s="8" t="s">
        <v>21</v>
      </c>
      <c r="I37" s="11"/>
      <c r="J37" s="11"/>
      <c r="K37" s="11"/>
      <c r="L37" s="11"/>
    </row>
    <row r="38" customFormat="false" ht="15" hidden="false" customHeight="true" outlineLevel="0" collapsed="false">
      <c r="A38" s="12" t="s">
        <v>197</v>
      </c>
      <c r="B38" s="13" t="s">
        <v>174</v>
      </c>
      <c r="C38" s="13" t="s">
        <v>198</v>
      </c>
      <c r="D38" s="14" t="s">
        <v>199</v>
      </c>
      <c r="E38" s="14" t="s">
        <v>200</v>
      </c>
      <c r="F38" s="14" t="s">
        <v>201</v>
      </c>
      <c r="G38" s="11"/>
      <c r="H38" s="8" t="s">
        <v>21</v>
      </c>
      <c r="I38" s="11"/>
      <c r="J38" s="11"/>
      <c r="K38" s="11"/>
      <c r="L38" s="11"/>
    </row>
    <row r="39" customFormat="false" ht="15" hidden="false" customHeight="true" outlineLevel="0" collapsed="false">
      <c r="A39" s="8" t="s">
        <v>202</v>
      </c>
      <c r="B39" s="9" t="s">
        <v>174</v>
      </c>
      <c r="C39" s="9" t="s">
        <v>203</v>
      </c>
      <c r="D39" s="10" t="s">
        <v>204</v>
      </c>
      <c r="E39" s="10" t="s">
        <v>186</v>
      </c>
      <c r="F39" s="10" t="s">
        <v>205</v>
      </c>
      <c r="G39" s="11"/>
      <c r="H39" s="8" t="s">
        <v>21</v>
      </c>
      <c r="I39" s="11"/>
      <c r="J39" s="11"/>
      <c r="K39" s="11"/>
      <c r="L39" s="11"/>
    </row>
    <row r="40" customFormat="false" ht="15" hidden="false" customHeight="true" outlineLevel="0" collapsed="false">
      <c r="A40" s="12" t="s">
        <v>206</v>
      </c>
      <c r="B40" s="13" t="s">
        <v>174</v>
      </c>
      <c r="C40" s="13" t="s">
        <v>207</v>
      </c>
      <c r="D40" s="15" t="s">
        <v>208</v>
      </c>
      <c r="E40" s="14" t="s">
        <v>209</v>
      </c>
      <c r="F40" s="14" t="s">
        <v>210</v>
      </c>
      <c r="G40" s="11"/>
      <c r="H40" s="8" t="s">
        <v>21</v>
      </c>
      <c r="I40" s="11"/>
      <c r="J40" s="11"/>
      <c r="K40" s="11"/>
      <c r="L40" s="11"/>
    </row>
    <row r="41" customFormat="false" ht="15" hidden="false" customHeight="true" outlineLevel="0" collapsed="false">
      <c r="A41" s="8" t="s">
        <v>211</v>
      </c>
      <c r="B41" s="9" t="s">
        <v>174</v>
      </c>
      <c r="C41" s="9" t="s">
        <v>212</v>
      </c>
      <c r="D41" s="10" t="s">
        <v>213</v>
      </c>
      <c r="E41" s="10" t="s">
        <v>209</v>
      </c>
      <c r="F41" s="10" t="s">
        <v>210</v>
      </c>
      <c r="G41" s="11"/>
      <c r="H41" s="8" t="s">
        <v>21</v>
      </c>
      <c r="I41" s="11"/>
      <c r="J41" s="11" t="s">
        <v>214</v>
      </c>
      <c r="K41" s="11"/>
      <c r="L41" s="11"/>
    </row>
    <row r="42" customFormat="false" ht="15" hidden="false" customHeight="true" outlineLevel="0" collapsed="false">
      <c r="A42" s="12" t="s">
        <v>215</v>
      </c>
      <c r="B42" s="13" t="s">
        <v>174</v>
      </c>
      <c r="C42" s="13" t="s">
        <v>216</v>
      </c>
      <c r="D42" s="14" t="s">
        <v>217</v>
      </c>
      <c r="E42" s="14" t="s">
        <v>186</v>
      </c>
      <c r="F42" s="14" t="s">
        <v>218</v>
      </c>
      <c r="G42" s="11"/>
      <c r="H42" s="8" t="s">
        <v>21</v>
      </c>
      <c r="I42" s="11"/>
      <c r="J42" s="11"/>
      <c r="K42" s="11"/>
      <c r="L42" s="11"/>
    </row>
    <row r="43" customFormat="false" ht="15" hidden="false" customHeight="true" outlineLevel="0" collapsed="false">
      <c r="A43" s="8" t="s">
        <v>219</v>
      </c>
      <c r="B43" s="9" t="s">
        <v>174</v>
      </c>
      <c r="C43" s="9" t="s">
        <v>220</v>
      </c>
      <c r="D43" s="10" t="s">
        <v>221</v>
      </c>
      <c r="E43" s="10" t="s">
        <v>222</v>
      </c>
      <c r="F43" s="10" t="s">
        <v>223</v>
      </c>
      <c r="G43" s="11"/>
      <c r="H43" s="8" t="s">
        <v>21</v>
      </c>
      <c r="I43" s="11"/>
      <c r="J43" s="11"/>
      <c r="K43" s="11"/>
      <c r="L43" s="11"/>
    </row>
    <row r="44" customFormat="false" ht="15" hidden="false" customHeight="true" outlineLevel="0" collapsed="false">
      <c r="A44" s="12" t="s">
        <v>224</v>
      </c>
      <c r="B44" s="13" t="s">
        <v>174</v>
      </c>
      <c r="C44" s="19" t="s">
        <v>225</v>
      </c>
      <c r="D44" s="15" t="s">
        <v>226</v>
      </c>
      <c r="E44" s="14" t="s">
        <v>222</v>
      </c>
      <c r="F44" s="14" t="s">
        <v>227</v>
      </c>
      <c r="G44" s="11"/>
      <c r="H44" s="8" t="s">
        <v>21</v>
      </c>
      <c r="I44" s="11"/>
      <c r="J44" s="11"/>
      <c r="K44" s="11"/>
      <c r="L44" s="11"/>
    </row>
    <row r="45" customFormat="false" ht="15" hidden="false" customHeight="true" outlineLevel="0" collapsed="false">
      <c r="A45" s="8" t="s">
        <v>228</v>
      </c>
      <c r="B45" s="9" t="s">
        <v>174</v>
      </c>
      <c r="C45" s="9" t="s">
        <v>229</v>
      </c>
      <c r="D45" s="10" t="s">
        <v>230</v>
      </c>
      <c r="E45" s="10" t="s">
        <v>231</v>
      </c>
      <c r="F45" s="10" t="s">
        <v>232</v>
      </c>
      <c r="G45" s="11"/>
      <c r="H45" s="8" t="s">
        <v>21</v>
      </c>
      <c r="I45" s="11"/>
      <c r="J45" s="11"/>
      <c r="K45" s="11"/>
      <c r="L45" s="11"/>
    </row>
    <row r="46" customFormat="false" ht="15" hidden="false" customHeight="true" outlineLevel="0" collapsed="false">
      <c r="A46" s="12" t="s">
        <v>233</v>
      </c>
      <c r="B46" s="13" t="s">
        <v>174</v>
      </c>
      <c r="C46" s="13" t="s">
        <v>234</v>
      </c>
      <c r="D46" s="14" t="s">
        <v>235</v>
      </c>
      <c r="E46" s="15" t="s">
        <v>236</v>
      </c>
      <c r="F46" s="14" t="s">
        <v>237</v>
      </c>
      <c r="G46" s="11"/>
      <c r="H46" s="8" t="s">
        <v>21</v>
      </c>
      <c r="I46" s="11"/>
      <c r="J46" s="11"/>
      <c r="K46" s="11"/>
      <c r="L46" s="11"/>
    </row>
    <row r="47" customFormat="false" ht="15" hidden="false" customHeight="true" outlineLevel="0" collapsed="false">
      <c r="A47" s="8" t="s">
        <v>238</v>
      </c>
      <c r="B47" s="9" t="s">
        <v>174</v>
      </c>
      <c r="C47" s="9" t="s">
        <v>239</v>
      </c>
      <c r="D47" s="10" t="s">
        <v>240</v>
      </c>
      <c r="E47" s="10" t="s">
        <v>241</v>
      </c>
      <c r="F47" s="10" t="s">
        <v>242</v>
      </c>
      <c r="G47" s="11"/>
      <c r="H47" s="8" t="s">
        <v>21</v>
      </c>
      <c r="I47" s="11"/>
      <c r="J47" s="11"/>
      <c r="K47" s="11"/>
      <c r="L47" s="11"/>
    </row>
    <row r="48" customFormat="false" ht="15" hidden="false" customHeight="true" outlineLevel="0" collapsed="false">
      <c r="A48" s="12" t="s">
        <v>243</v>
      </c>
      <c r="B48" s="13" t="s">
        <v>174</v>
      </c>
      <c r="C48" s="13" t="s">
        <v>244</v>
      </c>
      <c r="D48" s="14" t="s">
        <v>133</v>
      </c>
      <c r="E48" s="15" t="s">
        <v>134</v>
      </c>
      <c r="F48" s="14" t="s">
        <v>245</v>
      </c>
      <c r="G48" s="11"/>
      <c r="H48" s="8" t="s">
        <v>21</v>
      </c>
      <c r="I48" s="11"/>
      <c r="J48" s="11"/>
      <c r="K48" s="11"/>
      <c r="L48" s="11"/>
    </row>
    <row r="49" customFormat="false" ht="29.25" hidden="false" customHeight="true" outlineLevel="0" collapsed="false">
      <c r="A49" s="8" t="s">
        <v>246</v>
      </c>
      <c r="B49" s="9" t="s">
        <v>174</v>
      </c>
      <c r="C49" s="9" t="s">
        <v>247</v>
      </c>
      <c r="D49" s="10" t="s">
        <v>248</v>
      </c>
      <c r="E49" s="10" t="s">
        <v>186</v>
      </c>
      <c r="F49" s="10" t="s">
        <v>249</v>
      </c>
      <c r="G49" s="11"/>
      <c r="H49" s="8" t="s">
        <v>21</v>
      </c>
      <c r="I49" s="11"/>
      <c r="J49" s="11"/>
      <c r="K49" s="11"/>
      <c r="L49" s="11"/>
    </row>
    <row r="50" customFormat="false" ht="15" hidden="false" customHeight="true" outlineLevel="0" collapsed="false">
      <c r="A50" s="12" t="s">
        <v>250</v>
      </c>
      <c r="B50" s="13" t="s">
        <v>251</v>
      </c>
      <c r="C50" s="13" t="s">
        <v>252</v>
      </c>
      <c r="D50" s="14" t="s">
        <v>253</v>
      </c>
      <c r="E50" s="14" t="s">
        <v>254</v>
      </c>
      <c r="F50" s="14" t="s">
        <v>255</v>
      </c>
      <c r="G50" s="11"/>
      <c r="H50" s="8" t="s">
        <v>21</v>
      </c>
      <c r="I50" s="11"/>
      <c r="J50" s="11"/>
      <c r="K50" s="11"/>
      <c r="L50" s="11"/>
    </row>
    <row r="51" customFormat="false" ht="15" hidden="false" customHeight="true" outlineLevel="0" collapsed="false">
      <c r="A51" s="8" t="s">
        <v>256</v>
      </c>
      <c r="B51" s="9" t="s">
        <v>251</v>
      </c>
      <c r="C51" s="9" t="s">
        <v>257</v>
      </c>
      <c r="D51" s="10" t="s">
        <v>258</v>
      </c>
      <c r="E51" s="10" t="s">
        <v>254</v>
      </c>
      <c r="F51" s="10" t="s">
        <v>259</v>
      </c>
      <c r="G51" s="11"/>
      <c r="H51" s="8" t="s">
        <v>21</v>
      </c>
      <c r="I51" s="11"/>
      <c r="J51" s="11"/>
      <c r="K51" s="11"/>
      <c r="L51" s="11"/>
    </row>
    <row r="52" customFormat="false" ht="15" hidden="false" customHeight="true" outlineLevel="0" collapsed="false">
      <c r="A52" s="12" t="s">
        <v>260</v>
      </c>
      <c r="B52" s="13" t="s">
        <v>251</v>
      </c>
      <c r="C52" s="13" t="s">
        <v>261</v>
      </c>
      <c r="D52" s="14" t="s">
        <v>262</v>
      </c>
      <c r="E52" s="14" t="s">
        <v>263</v>
      </c>
      <c r="F52" s="15" t="s">
        <v>264</v>
      </c>
      <c r="G52" s="11"/>
      <c r="H52" s="8" t="s">
        <v>21</v>
      </c>
      <c r="I52" s="11"/>
      <c r="J52" s="11"/>
      <c r="K52" s="11"/>
      <c r="L52" s="11"/>
    </row>
    <row r="53" customFormat="false" ht="15" hidden="false" customHeight="true" outlineLevel="0" collapsed="false">
      <c r="A53" s="8" t="s">
        <v>265</v>
      </c>
      <c r="B53" s="9" t="s">
        <v>251</v>
      </c>
      <c r="C53" s="9" t="s">
        <v>266</v>
      </c>
      <c r="D53" s="10" t="s">
        <v>267</v>
      </c>
      <c r="E53" s="10" t="s">
        <v>268</v>
      </c>
      <c r="F53" s="10" t="s">
        <v>269</v>
      </c>
      <c r="G53" s="11"/>
      <c r="H53" s="8" t="s">
        <v>21</v>
      </c>
      <c r="I53" s="11"/>
      <c r="J53" s="11"/>
      <c r="K53" s="11"/>
      <c r="L53" s="11"/>
    </row>
    <row r="54" customFormat="false" ht="15" hidden="false" customHeight="true" outlineLevel="0" collapsed="false">
      <c r="A54" s="12" t="s">
        <v>270</v>
      </c>
      <c r="B54" s="19" t="s">
        <v>271</v>
      </c>
      <c r="C54" s="13" t="s">
        <v>272</v>
      </c>
      <c r="D54" s="14" t="s">
        <v>273</v>
      </c>
      <c r="E54" s="14" t="s">
        <v>274</v>
      </c>
      <c r="F54" s="14" t="s">
        <v>275</v>
      </c>
      <c r="G54" s="11"/>
      <c r="H54" s="8" t="s">
        <v>21</v>
      </c>
      <c r="I54" s="11"/>
      <c r="J54" s="11"/>
      <c r="K54" s="11"/>
      <c r="L54" s="11"/>
    </row>
    <row r="55" customFormat="false" ht="15" hidden="false" customHeight="true" outlineLevel="0" collapsed="false">
      <c r="A55" s="8" t="s">
        <v>276</v>
      </c>
      <c r="B55" s="16" t="s">
        <v>271</v>
      </c>
      <c r="C55" s="9" t="s">
        <v>277</v>
      </c>
      <c r="D55" s="10" t="s">
        <v>278</v>
      </c>
      <c r="E55" s="10" t="s">
        <v>279</v>
      </c>
      <c r="F55" s="10" t="s">
        <v>280</v>
      </c>
      <c r="G55" s="11"/>
      <c r="H55" s="8" t="s">
        <v>21</v>
      </c>
      <c r="I55" s="11"/>
      <c r="J55" s="11" t="s">
        <v>281</v>
      </c>
      <c r="K55" s="11"/>
      <c r="L55" s="11"/>
    </row>
    <row r="56" customFormat="false" ht="15" hidden="false" customHeight="true" outlineLevel="0" collapsed="false">
      <c r="A56" s="12" t="s">
        <v>282</v>
      </c>
      <c r="B56" s="19" t="s">
        <v>271</v>
      </c>
      <c r="C56" s="13" t="s">
        <v>283</v>
      </c>
      <c r="D56" s="14" t="s">
        <v>284</v>
      </c>
      <c r="E56" s="14" t="s">
        <v>285</v>
      </c>
      <c r="F56" s="14" t="s">
        <v>286</v>
      </c>
      <c r="G56" s="11"/>
      <c r="H56" s="8" t="s">
        <v>21</v>
      </c>
      <c r="I56" s="11"/>
      <c r="J56" s="11"/>
      <c r="K56" s="11"/>
      <c r="L56" s="11"/>
    </row>
    <row r="57" customFormat="false" ht="15" hidden="false" customHeight="true" outlineLevel="0" collapsed="false">
      <c r="A57" s="8" t="s">
        <v>287</v>
      </c>
      <c r="B57" s="9" t="s">
        <v>288</v>
      </c>
      <c r="C57" s="9" t="s">
        <v>289</v>
      </c>
      <c r="D57" s="10" t="s">
        <v>290</v>
      </c>
      <c r="E57" s="10" t="s">
        <v>186</v>
      </c>
      <c r="F57" s="10" t="s">
        <v>291</v>
      </c>
      <c r="G57" s="11"/>
      <c r="H57" s="8" t="s">
        <v>21</v>
      </c>
      <c r="I57" s="11"/>
      <c r="J57" s="11" t="s">
        <v>292</v>
      </c>
      <c r="K57" s="11"/>
      <c r="L57" s="11"/>
    </row>
    <row r="58" customFormat="false" ht="29.25" hidden="false" customHeight="true" outlineLevel="0" collapsed="false">
      <c r="A58" s="12" t="s">
        <v>293</v>
      </c>
      <c r="B58" s="13" t="s">
        <v>288</v>
      </c>
      <c r="C58" s="19" t="s">
        <v>294</v>
      </c>
      <c r="D58" s="14" t="s">
        <v>278</v>
      </c>
      <c r="E58" s="14" t="s">
        <v>285</v>
      </c>
      <c r="F58" s="14" t="s">
        <v>295</v>
      </c>
      <c r="G58" s="11"/>
      <c r="H58" s="8" t="s">
        <v>21</v>
      </c>
      <c r="I58" s="11"/>
      <c r="J58" s="11"/>
      <c r="K58" s="11"/>
      <c r="L58" s="11"/>
    </row>
    <row r="59" customFormat="false" ht="15" hidden="false" customHeight="true" outlineLevel="0" collapsed="false">
      <c r="A59" s="8" t="s">
        <v>296</v>
      </c>
      <c r="B59" s="9" t="s">
        <v>297</v>
      </c>
      <c r="C59" s="9" t="s">
        <v>298</v>
      </c>
      <c r="D59" s="10" t="s">
        <v>299</v>
      </c>
      <c r="E59" s="11" t="s">
        <v>300</v>
      </c>
      <c r="F59" s="11" t="s">
        <v>301</v>
      </c>
      <c r="G59" s="11"/>
      <c r="H59" s="8" t="s">
        <v>21</v>
      </c>
      <c r="I59" s="11"/>
      <c r="J59" s="11"/>
      <c r="K59" s="11"/>
      <c r="L59" s="11"/>
    </row>
    <row r="60" customFormat="false" ht="15" hidden="false" customHeight="true" outlineLevel="0" collapsed="false">
      <c r="A60" s="8" t="s">
        <v>302</v>
      </c>
      <c r="B60" s="9" t="s">
        <v>303</v>
      </c>
      <c r="C60" s="9" t="s">
        <v>304</v>
      </c>
      <c r="D60" s="10" t="s">
        <v>305</v>
      </c>
      <c r="E60" s="10" t="s">
        <v>306</v>
      </c>
      <c r="F60" s="10" t="s">
        <v>307</v>
      </c>
      <c r="G60" s="11"/>
      <c r="H60" s="8" t="s">
        <v>21</v>
      </c>
      <c r="I60" s="11"/>
      <c r="J60" s="11"/>
      <c r="K60" s="11"/>
      <c r="L60" s="11"/>
    </row>
    <row r="61" customFormat="false" ht="15" hidden="false" customHeight="true" outlineLevel="0" collapsed="false">
      <c r="A61" s="8" t="s">
        <v>308</v>
      </c>
      <c r="B61" s="9" t="s">
        <v>303</v>
      </c>
      <c r="C61" s="9" t="s">
        <v>309</v>
      </c>
      <c r="D61" s="10" t="s">
        <v>310</v>
      </c>
      <c r="E61" s="10" t="s">
        <v>222</v>
      </c>
      <c r="F61" s="10" t="s">
        <v>311</v>
      </c>
      <c r="G61" s="11"/>
      <c r="H61" s="8" t="s">
        <v>21</v>
      </c>
      <c r="I61" s="11"/>
      <c r="J61" s="11"/>
      <c r="K61" s="11"/>
      <c r="L61" s="11"/>
    </row>
    <row r="62" customFormat="false" ht="15" hidden="false" customHeight="true" outlineLevel="0" collapsed="false">
      <c r="A62" s="8" t="s">
        <v>312</v>
      </c>
      <c r="B62" s="9" t="s">
        <v>303</v>
      </c>
      <c r="C62" s="9" t="s">
        <v>313</v>
      </c>
      <c r="D62" s="10" t="s">
        <v>314</v>
      </c>
      <c r="E62" s="10" t="s">
        <v>315</v>
      </c>
      <c r="F62" s="10" t="s">
        <v>316</v>
      </c>
      <c r="G62" s="11"/>
      <c r="H62" s="8" t="s">
        <v>21</v>
      </c>
      <c r="I62" s="11"/>
      <c r="J62" s="11"/>
      <c r="K62" s="11"/>
      <c r="L62" s="11"/>
    </row>
    <row r="63" customFormat="false" ht="15" hidden="false" customHeight="true" outlineLevel="0" collapsed="false">
      <c r="A63" s="8" t="s">
        <v>317</v>
      </c>
      <c r="B63" s="9" t="s">
        <v>303</v>
      </c>
      <c r="C63" s="9" t="s">
        <v>318</v>
      </c>
      <c r="D63" s="10" t="s">
        <v>319</v>
      </c>
      <c r="E63" s="10" t="s">
        <v>320</v>
      </c>
      <c r="F63" s="10" t="s">
        <v>321</v>
      </c>
      <c r="G63" s="11"/>
      <c r="H63" s="8" t="s">
        <v>21</v>
      </c>
      <c r="I63" s="11"/>
      <c r="J63" s="11"/>
      <c r="K63" s="11"/>
      <c r="L63" s="11"/>
    </row>
    <row r="64" customFormat="false" ht="15" hidden="false" customHeight="true" outlineLevel="0" collapsed="false">
      <c r="A64" s="8" t="s">
        <v>322</v>
      </c>
      <c r="B64" s="9" t="s">
        <v>303</v>
      </c>
      <c r="C64" s="9" t="s">
        <v>323</v>
      </c>
      <c r="D64" s="10" t="s">
        <v>324</v>
      </c>
      <c r="E64" s="10" t="s">
        <v>325</v>
      </c>
      <c r="F64" s="11" t="s">
        <v>326</v>
      </c>
      <c r="G64" s="11"/>
      <c r="H64" s="8" t="s">
        <v>21</v>
      </c>
      <c r="I64" s="11"/>
      <c r="J64" s="11"/>
      <c r="K64" s="11"/>
      <c r="L64" s="11"/>
    </row>
    <row r="65" customFormat="false" ht="15" hidden="false" customHeight="true" outlineLevel="0" collapsed="false">
      <c r="A65" s="8" t="s">
        <v>327</v>
      </c>
      <c r="B65" s="9" t="s">
        <v>303</v>
      </c>
      <c r="C65" s="9" t="s">
        <v>328</v>
      </c>
      <c r="D65" s="10" t="s">
        <v>31</v>
      </c>
      <c r="E65" s="10" t="s">
        <v>329</v>
      </c>
      <c r="F65" s="10" t="s">
        <v>330</v>
      </c>
      <c r="G65" s="11"/>
      <c r="H65" s="8" t="s">
        <v>21</v>
      </c>
      <c r="I65" s="11"/>
      <c r="J65" s="11"/>
      <c r="K65" s="11"/>
      <c r="L65" s="11"/>
    </row>
    <row r="66" customFormat="false" ht="15" hidden="false" customHeight="true" outlineLevel="0" collapsed="false">
      <c r="A66" s="8" t="s">
        <v>331</v>
      </c>
      <c r="B66" s="9" t="s">
        <v>303</v>
      </c>
      <c r="C66" s="9" t="s">
        <v>332</v>
      </c>
      <c r="D66" s="10" t="s">
        <v>333</v>
      </c>
      <c r="E66" s="10" t="s">
        <v>334</v>
      </c>
      <c r="F66" s="10" t="s">
        <v>335</v>
      </c>
      <c r="G66" s="10" t="s">
        <v>336</v>
      </c>
      <c r="H66" s="8" t="s">
        <v>180</v>
      </c>
      <c r="I66" s="17" t="s">
        <v>337</v>
      </c>
      <c r="J66" s="11"/>
      <c r="K66" s="1" t="s">
        <v>338</v>
      </c>
      <c r="L66" s="18" t="s">
        <v>21</v>
      </c>
    </row>
    <row r="67" customFormat="false" ht="15" hidden="false" customHeight="true" outlineLevel="0" collapsed="false">
      <c r="A67" s="8" t="s">
        <v>339</v>
      </c>
      <c r="B67" s="9" t="s">
        <v>303</v>
      </c>
      <c r="C67" s="9" t="s">
        <v>340</v>
      </c>
      <c r="D67" s="10" t="s">
        <v>341</v>
      </c>
      <c r="E67" s="10" t="s">
        <v>342</v>
      </c>
      <c r="F67" s="10" t="s">
        <v>343</v>
      </c>
      <c r="G67" s="11"/>
      <c r="H67" s="8" t="s">
        <v>21</v>
      </c>
      <c r="I67" s="11"/>
      <c r="J67" s="11"/>
      <c r="K67" s="11"/>
      <c r="L67" s="11"/>
    </row>
    <row r="68" customFormat="false" ht="15" hidden="false" customHeight="true" outlineLevel="0" collapsed="false">
      <c r="A68" s="8" t="s">
        <v>344</v>
      </c>
      <c r="B68" s="9" t="s">
        <v>303</v>
      </c>
      <c r="C68" s="9" t="s">
        <v>345</v>
      </c>
      <c r="D68" s="10" t="s">
        <v>346</v>
      </c>
      <c r="E68" s="10" t="s">
        <v>347</v>
      </c>
      <c r="F68" s="10" t="s">
        <v>348</v>
      </c>
      <c r="G68" s="11"/>
      <c r="H68" s="8" t="s">
        <v>21</v>
      </c>
      <c r="I68" s="11"/>
      <c r="J68" s="11"/>
      <c r="K68" s="11"/>
      <c r="L68" s="11"/>
    </row>
    <row r="69" customFormat="false" ht="15" hidden="false" customHeight="true" outlineLevel="0" collapsed="false">
      <c r="A69" s="8" t="s">
        <v>349</v>
      </c>
      <c r="B69" s="9" t="s">
        <v>303</v>
      </c>
      <c r="C69" s="9" t="s">
        <v>350</v>
      </c>
      <c r="D69" s="10" t="s">
        <v>351</v>
      </c>
      <c r="E69" s="10" t="s">
        <v>352</v>
      </c>
      <c r="F69" s="10" t="s">
        <v>353</v>
      </c>
      <c r="G69" s="11"/>
      <c r="H69" s="8" t="s">
        <v>21</v>
      </c>
      <c r="I69" s="11"/>
      <c r="J69" s="11"/>
      <c r="K69" s="11"/>
      <c r="L69" s="11"/>
    </row>
    <row r="70" customFormat="false" ht="15" hidden="false" customHeight="true" outlineLevel="0" collapsed="false">
      <c r="A70" s="8" t="s">
        <v>354</v>
      </c>
      <c r="B70" s="9" t="s">
        <v>109</v>
      </c>
      <c r="C70" s="9" t="s">
        <v>355</v>
      </c>
      <c r="D70" s="10" t="s">
        <v>356</v>
      </c>
      <c r="E70" s="10" t="s">
        <v>357</v>
      </c>
      <c r="F70" s="10" t="s">
        <v>358</v>
      </c>
      <c r="G70" s="11"/>
      <c r="H70" s="8" t="s">
        <v>21</v>
      </c>
      <c r="I70" s="10" t="s">
        <v>359</v>
      </c>
      <c r="J70" s="11"/>
      <c r="K70" s="11" t="s">
        <v>360</v>
      </c>
      <c r="L70" s="11"/>
    </row>
    <row r="71" customFormat="false" ht="15" hidden="false" customHeight="true" outlineLevel="0" collapsed="false">
      <c r="A71" s="8" t="s">
        <v>361</v>
      </c>
      <c r="B71" s="9" t="s">
        <v>109</v>
      </c>
      <c r="C71" s="9" t="s">
        <v>362</v>
      </c>
      <c r="D71" s="10" t="s">
        <v>363</v>
      </c>
      <c r="E71" s="10" t="s">
        <v>364</v>
      </c>
      <c r="F71" s="10" t="s">
        <v>365</v>
      </c>
      <c r="G71" s="11"/>
      <c r="H71" s="8" t="s">
        <v>21</v>
      </c>
      <c r="I71" s="10" t="s">
        <v>359</v>
      </c>
      <c r="J71" s="11"/>
      <c r="K71" s="11" t="s">
        <v>360</v>
      </c>
      <c r="L71" s="11"/>
    </row>
    <row r="72" customFormat="false" ht="15" hidden="false" customHeight="true" outlineLevel="0" collapsed="false">
      <c r="A72" s="8" t="s">
        <v>366</v>
      </c>
      <c r="B72" s="9" t="s">
        <v>109</v>
      </c>
      <c r="C72" s="9" t="s">
        <v>367</v>
      </c>
      <c r="D72" s="10" t="s">
        <v>368</v>
      </c>
      <c r="E72" s="10" t="s">
        <v>369</v>
      </c>
      <c r="F72" s="10" t="s">
        <v>370</v>
      </c>
      <c r="G72" s="11"/>
      <c r="H72" s="8" t="s">
        <v>21</v>
      </c>
      <c r="I72" s="10" t="s">
        <v>359</v>
      </c>
      <c r="J72" s="11"/>
      <c r="K72" s="11" t="s">
        <v>360</v>
      </c>
      <c r="L72" s="11"/>
    </row>
    <row r="73" customFormat="false" ht="15" hidden="false" customHeight="true" outlineLevel="0" collapsed="false">
      <c r="A73" s="8" t="s">
        <v>371</v>
      </c>
      <c r="B73" s="9" t="s">
        <v>109</v>
      </c>
      <c r="C73" s="9" t="s">
        <v>372</v>
      </c>
      <c r="D73" s="10" t="s">
        <v>373</v>
      </c>
      <c r="E73" s="10" t="s">
        <v>369</v>
      </c>
      <c r="F73" s="10" t="s">
        <v>374</v>
      </c>
      <c r="G73" s="11"/>
      <c r="H73" s="8" t="s">
        <v>21</v>
      </c>
      <c r="I73" s="10" t="s">
        <v>359</v>
      </c>
      <c r="J73" s="11"/>
      <c r="K73" s="11" t="s">
        <v>360</v>
      </c>
      <c r="L73" s="11"/>
    </row>
    <row r="74" customFormat="false" ht="15" hidden="false" customHeight="true" outlineLevel="0" collapsed="false">
      <c r="A74" s="8" t="s">
        <v>375</v>
      </c>
      <c r="B74" s="9" t="s">
        <v>109</v>
      </c>
      <c r="C74" s="9" t="s">
        <v>376</v>
      </c>
      <c r="D74" s="10" t="s">
        <v>377</v>
      </c>
      <c r="E74" s="10" t="s">
        <v>378</v>
      </c>
      <c r="F74" s="10" t="s">
        <v>379</v>
      </c>
      <c r="G74" s="11"/>
      <c r="H74" s="8" t="s">
        <v>21</v>
      </c>
      <c r="I74" s="10" t="s">
        <v>359</v>
      </c>
      <c r="J74" s="11"/>
      <c r="K74" s="11" t="s">
        <v>360</v>
      </c>
      <c r="L74" s="11"/>
    </row>
    <row r="75" customFormat="false" ht="15" hidden="false" customHeight="true" outlineLevel="0" collapsed="false">
      <c r="A75" s="8" t="s">
        <v>380</v>
      </c>
      <c r="B75" s="9" t="s">
        <v>109</v>
      </c>
      <c r="C75" s="9" t="s">
        <v>381</v>
      </c>
      <c r="D75" s="10" t="s">
        <v>382</v>
      </c>
      <c r="E75" s="10" t="s">
        <v>383</v>
      </c>
      <c r="F75" s="10" t="s">
        <v>384</v>
      </c>
      <c r="G75" s="11" t="s">
        <v>385</v>
      </c>
      <c r="H75" s="8" t="s">
        <v>180</v>
      </c>
      <c r="I75" s="10" t="s">
        <v>386</v>
      </c>
      <c r="J75" s="11"/>
      <c r="K75" s="11" t="s">
        <v>360</v>
      </c>
      <c r="L75" s="11" t="s">
        <v>21</v>
      </c>
    </row>
    <row r="76" customFormat="false" ht="15" hidden="false" customHeight="true" outlineLevel="0" collapsed="false">
      <c r="A76" s="8" t="s">
        <v>387</v>
      </c>
      <c r="B76" s="9" t="s">
        <v>109</v>
      </c>
      <c r="C76" s="9" t="s">
        <v>388</v>
      </c>
      <c r="D76" s="10" t="s">
        <v>389</v>
      </c>
      <c r="E76" s="10" t="s">
        <v>390</v>
      </c>
      <c r="F76" s="10" t="s">
        <v>391</v>
      </c>
      <c r="G76" s="11"/>
      <c r="H76" s="8" t="s">
        <v>21</v>
      </c>
      <c r="I76" s="10" t="s">
        <v>359</v>
      </c>
      <c r="J76" s="11"/>
      <c r="K76" s="11" t="s">
        <v>360</v>
      </c>
      <c r="L76" s="11"/>
    </row>
    <row r="77" customFormat="false" ht="15" hidden="false" customHeight="true" outlineLevel="0" collapsed="false">
      <c r="A77" s="8" t="s">
        <v>392</v>
      </c>
      <c r="B77" s="9" t="s">
        <v>109</v>
      </c>
      <c r="C77" s="9" t="s">
        <v>393</v>
      </c>
      <c r="D77" s="10" t="s">
        <v>394</v>
      </c>
      <c r="E77" s="10" t="s">
        <v>395</v>
      </c>
      <c r="F77" s="10" t="s">
        <v>396</v>
      </c>
      <c r="G77" s="11"/>
      <c r="H77" s="8" t="s">
        <v>21</v>
      </c>
      <c r="I77" s="10" t="s">
        <v>359</v>
      </c>
      <c r="J77" s="11"/>
      <c r="K77" s="11" t="s">
        <v>360</v>
      </c>
      <c r="L77" s="11"/>
    </row>
    <row r="78" customFormat="false" ht="15" hidden="false" customHeight="true" outlineLevel="0" collapsed="false">
      <c r="A78" s="8" t="s">
        <v>397</v>
      </c>
      <c r="B78" s="9" t="s">
        <v>109</v>
      </c>
      <c r="C78" s="9" t="s">
        <v>398</v>
      </c>
      <c r="D78" s="10" t="s">
        <v>399</v>
      </c>
      <c r="E78" s="10" t="s">
        <v>400</v>
      </c>
      <c r="F78" s="10" t="s">
        <v>401</v>
      </c>
      <c r="G78" s="11"/>
      <c r="H78" s="8" t="s">
        <v>21</v>
      </c>
      <c r="I78" s="10" t="s">
        <v>359</v>
      </c>
      <c r="J78" s="11"/>
      <c r="K78" s="11" t="s">
        <v>360</v>
      </c>
      <c r="L78" s="11"/>
    </row>
  </sheetData>
  <mergeCells count="2">
    <mergeCell ref="A1:L1"/>
    <mergeCell ref="A2:L2"/>
  </mergeCells>
  <dataValidations count="2">
    <dataValidation allowBlank="true" errorStyle="stop" operator="between" showDropDown="false" showErrorMessage="false" showInputMessage="false" sqref="H4:H78" type="list">
      <formula1>"Pass,Fail,N/A,보류"</formula1>
      <formula2>0</formula2>
    </dataValidation>
    <dataValidation allowBlank="true" errorStyle="stop" operator="between" showDropDown="false" showErrorMessage="false" showInputMessage="false" sqref="L5:L78" type="list">
      <formula1>"Pass,Fail"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  <col collapsed="false" customWidth="true" hidden="false" outlineLevel="0" max="4" min="4" style="1" width="12"/>
    <col collapsed="false" customWidth="true" hidden="false" outlineLevel="0" max="5" min="5" style="1" width="8"/>
  </cols>
  <sheetData>
    <row r="1" customFormat="false" ht="19.5" hidden="false" customHeight="true" outlineLevel="0" collapsed="false">
      <c r="A1" s="20" t="s">
        <v>402</v>
      </c>
      <c r="D1" s="21" t="s">
        <v>403</v>
      </c>
    </row>
    <row r="2" customFormat="false" ht="15" hidden="false" customHeight="true" outlineLevel="0" collapsed="false">
      <c r="D2" s="22" t="s">
        <v>3</v>
      </c>
      <c r="E2" s="22" t="s">
        <v>404</v>
      </c>
    </row>
    <row r="3" customFormat="false" ht="15" hidden="false" customHeight="true" outlineLevel="0" collapsed="false">
      <c r="A3" s="22" t="s">
        <v>405</v>
      </c>
      <c r="B3" s="23" t="n">
        <f aca="false">COUNTA('테스트 케이스'!A5:A78)</f>
        <v>74</v>
      </c>
      <c r="D3" s="24" t="s">
        <v>24</v>
      </c>
      <c r="E3" s="24" t="n">
        <f aca="false">COUNTIF('테스트 케이스'!B5:B78,D3)</f>
        <v>5</v>
      </c>
    </row>
    <row r="4" customFormat="false" ht="15" hidden="false" customHeight="true" outlineLevel="0" collapsed="false">
      <c r="A4" s="25" t="s">
        <v>21</v>
      </c>
      <c r="B4" s="26" t="n">
        <f aca="false">COUNTIF('테스트 케이스'!H5:H78,"Pass")</f>
        <v>71</v>
      </c>
      <c r="D4" s="24" t="s">
        <v>49</v>
      </c>
      <c r="E4" s="24" t="n">
        <f aca="false">COUNTIF('테스트 케이스'!B5:B78,D4)</f>
        <v>2</v>
      </c>
    </row>
    <row r="5" customFormat="false" ht="15" hidden="false" customHeight="true" outlineLevel="0" collapsed="false">
      <c r="A5" s="25" t="s">
        <v>180</v>
      </c>
      <c r="B5" s="26" t="n">
        <f aca="false">COUNTIF('테스트 케이스'!H5:H78,"Fail")</f>
        <v>3</v>
      </c>
      <c r="D5" s="24" t="s">
        <v>15</v>
      </c>
      <c r="E5" s="24" t="n">
        <f aca="false">COUNTIF('테스트 케이스'!B5:B78,D5)</f>
        <v>6</v>
      </c>
    </row>
    <row r="6" customFormat="false" ht="15" hidden="false" customHeight="true" outlineLevel="0" collapsed="false">
      <c r="A6" s="25" t="s">
        <v>406</v>
      </c>
      <c r="B6" s="26" t="n">
        <f aca="false">COUNTIF('테스트 케이스'!H5:H78,"N/A")</f>
        <v>0</v>
      </c>
      <c r="D6" s="24" t="s">
        <v>88</v>
      </c>
      <c r="E6" s="24" t="n">
        <f aca="false">COUNTIF('테스트 케이스'!B5:B78,D6)</f>
        <v>5</v>
      </c>
    </row>
    <row r="7" customFormat="false" ht="15" hidden="false" customHeight="true" outlineLevel="0" collapsed="false">
      <c r="A7" s="27" t="s">
        <v>407</v>
      </c>
      <c r="B7" s="26" t="n">
        <f aca="false">COUNTIF('테스트 케이스'!H5:H78,"보류")</f>
        <v>0</v>
      </c>
      <c r="D7" s="24" t="s">
        <v>109</v>
      </c>
      <c r="E7" s="24" t="n">
        <f aca="false">COUNTIF('테스트 케이스'!B5:B78,D7)</f>
        <v>10</v>
      </c>
    </row>
    <row r="8" customFormat="false" ht="15" hidden="false" customHeight="true" outlineLevel="0" collapsed="false">
      <c r="A8" s="27" t="s">
        <v>408</v>
      </c>
      <c r="B8" s="26" t="n">
        <f aca="false">COUNTA('테스트 케이스'!A5:A78)-COUNTA('테스트 케이스'!H5:H78)</f>
        <v>0</v>
      </c>
      <c r="D8" s="24" t="s">
        <v>121</v>
      </c>
      <c r="E8" s="24" t="n">
        <f aca="false">COUNTIF('테스트 케이스'!B5:B78,D8)</f>
        <v>2</v>
      </c>
    </row>
    <row r="9" customFormat="false" ht="15" hidden="false" customHeight="true" outlineLevel="0" collapsed="false">
      <c r="D9" s="24" t="s">
        <v>131</v>
      </c>
      <c r="E9" s="24" t="n">
        <f aca="false">COUNTIF('테스트 케이스'!B5:B78,D9)</f>
        <v>1</v>
      </c>
    </row>
    <row r="10" customFormat="false" ht="15" hidden="false" customHeight="true" outlineLevel="0" collapsed="false">
      <c r="D10" s="28" t="s">
        <v>137</v>
      </c>
      <c r="E10" s="28" t="n">
        <f aca="false">COUNTIF('테스트 케이스'!B5:B78,D10)</f>
        <v>1</v>
      </c>
    </row>
    <row r="11" customFormat="false" ht="16.5" hidden="false" customHeight="true" outlineLevel="0" collapsed="false">
      <c r="A11" s="27" t="s">
        <v>409</v>
      </c>
      <c r="B11" s="29" t="n">
        <f aca="false">IF(B3=0,0,B4/B3)</f>
        <v>0.959459459459459</v>
      </c>
      <c r="D11" s="24" t="s">
        <v>143</v>
      </c>
      <c r="E11" s="28" t="n">
        <f aca="false">COUNTIF('테스트 케이스'!B5:B78,D11)</f>
        <v>1</v>
      </c>
    </row>
    <row r="12" customFormat="false" ht="15" hidden="false" customHeight="true" outlineLevel="0" collapsed="false">
      <c r="D12" s="24" t="s">
        <v>144</v>
      </c>
      <c r="E12" s="28" t="n">
        <f aca="false">COUNTIF('테스트 케이스'!B5:B78,D12)</f>
        <v>2</v>
      </c>
    </row>
    <row r="13" customFormat="false" ht="15" hidden="false" customHeight="true" outlineLevel="0" collapsed="false">
      <c r="A13" s="27" t="s">
        <v>410</v>
      </c>
      <c r="B13" s="26" t="n">
        <f aca="false">COUNTA('테스트 케이스'!K5:K78)</f>
        <v>11</v>
      </c>
      <c r="D13" s="24" t="s">
        <v>158</v>
      </c>
      <c r="E13" s="28" t="n">
        <f aca="false">COUNTIF('테스트 케이스'!B5:B78,D13)</f>
        <v>3</v>
      </c>
    </row>
    <row r="14" customFormat="false" ht="15" hidden="false" customHeight="true" outlineLevel="0" collapsed="false">
      <c r="A14" s="27" t="s">
        <v>411</v>
      </c>
      <c r="B14" s="26" t="s">
        <v>412</v>
      </c>
      <c r="D14" s="24" t="s">
        <v>174</v>
      </c>
      <c r="E14" s="28" t="n">
        <f aca="false">COUNTIF('테스트 케이스'!B5:B78,D14)</f>
        <v>16</v>
      </c>
    </row>
    <row r="15" customFormat="false" ht="15" hidden="false" customHeight="true" outlineLevel="0" collapsed="false">
      <c r="A15" s="27" t="s">
        <v>413</v>
      </c>
      <c r="B15" s="26" t="n">
        <f aca="false">COUNTIF('테스트 케이스'!L5:L78,"Pass")</f>
        <v>3</v>
      </c>
      <c r="D15" s="24" t="s">
        <v>251</v>
      </c>
      <c r="E15" s="28" t="n">
        <f aca="false">COUNTIF('테스트 케이스'!B5:B78,D15)</f>
        <v>4</v>
      </c>
    </row>
    <row r="16" customFormat="false" ht="15" hidden="false" customHeight="true" outlineLevel="0" collapsed="false">
      <c r="A16" s="27" t="s">
        <v>414</v>
      </c>
      <c r="B16" s="26" t="n">
        <f aca="false">COUNTIF('테스트 케이스'!L5:L78,"Fail")</f>
        <v>0</v>
      </c>
      <c r="D16" s="28" t="s">
        <v>271</v>
      </c>
      <c r="E16" s="28" t="n">
        <f aca="false">COUNTIF('테스트 케이스'!B5:B78,D16)</f>
        <v>3</v>
      </c>
    </row>
    <row r="17" customFormat="false" ht="15" hidden="false" customHeight="true" outlineLevel="0" collapsed="false">
      <c r="D17" s="24" t="s">
        <v>288</v>
      </c>
      <c r="E17" s="28" t="n">
        <f aca="false">COUNTIF('테스트 케이스'!B5:B78,D17)</f>
        <v>2</v>
      </c>
    </row>
    <row r="18" customFormat="false" ht="15" hidden="false" customHeight="true" outlineLevel="0" collapsed="false">
      <c r="D18" s="24" t="s">
        <v>297</v>
      </c>
      <c r="E18" s="28" t="n">
        <f aca="false">COUNTIF('테스트 케이스'!B5:B78,D18)</f>
        <v>1</v>
      </c>
    </row>
    <row r="19" customFormat="false" ht="15" hidden="false" customHeight="true" outlineLevel="0" collapsed="false">
      <c r="D19" s="24" t="s">
        <v>303</v>
      </c>
      <c r="E19" s="28" t="n">
        <f aca="false">COUNTIF('테스트 케이스'!B5:B78,D19)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2026-09-04T11:38:47Z</dcterms:created>
  <dc:creator>openpyxl</dc:creator>
  <dc:description/>
  <dc:language>en-US</dc:language>
  <cp:lastModifiedBy>김성재김성재</cp:lastModifiedBy>
  <dcterms:modified xsi:type="dcterms:W3CDTF">2026-09-28T12:00:33Z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