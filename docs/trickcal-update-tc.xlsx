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요약" sheetId="1" state="visible" r:id="rId1"/>
    <sheet xmlns:r="http://schemas.openxmlformats.org/officeDocument/2006/relationships" name="테스트 계획" sheetId="2" state="visible" r:id="rId2"/>
    <sheet xmlns:r="http://schemas.openxmlformats.org/officeDocument/2006/relationships" name="TC" sheetId="3" state="visible" r:id="rId3"/>
    <sheet xmlns:r="http://schemas.openxmlformats.org/officeDocument/2006/relationships" name="이슈"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0">
    <font>
      <name val="Calibri"/>
      <charset val="1"/>
      <family val="2"/>
      <color theme="1"/>
      <sz val="11"/>
    </font>
    <font>
      <name val="Arial"/>
      <family val="0"/>
      <sz val="10"/>
    </font>
    <font>
      <name val="Arial"/>
      <family val="0"/>
      <sz val="10"/>
    </font>
    <font>
      <name val="Arial"/>
      <family val="0"/>
      <sz val="10"/>
    </font>
    <font>
      <name val="맑은 고딕"/>
      <charset val="129"/>
      <family val="3"/>
      <b val="1"/>
      <color rgb="FFFFFFFF"/>
      <sz val="14"/>
    </font>
    <font>
      <name val="Noto Sans CJK SC"/>
      <charset val="1"/>
      <family val="2"/>
      <b val="1"/>
      <color rgb="FF000000"/>
      <sz val="10"/>
    </font>
    <font>
      <name val="맑은 고딕"/>
      <charset val="129"/>
      <family val="3"/>
      <color rgb="FF000000"/>
      <sz val="10"/>
    </font>
    <font>
      <name val="Noto Sans CJK SC"/>
      <family val="2"/>
      <color rgb="FF000000"/>
      <sz val="10"/>
    </font>
    <font>
      <name val="Noto Sans CJK SC"/>
      <charset val="1"/>
      <family val="2"/>
      <color rgb="FF000000"/>
      <sz val="10"/>
    </font>
    <font>
      <name val="Noto Sans CJK SC"/>
      <charset val="1"/>
      <family val="2"/>
      <b val="1"/>
      <color rgb="FFFFFFFF"/>
      <sz val="10"/>
    </font>
    <font>
      <name val="맑은 고딕"/>
      <charset val="129"/>
      <family val="3"/>
      <b val="1"/>
      <color rgb="FFFFFFFF"/>
      <sz val="10"/>
    </font>
    <font>
      <name val="맑은 고딕"/>
      <charset val="129"/>
      <family val="3"/>
      <b val="1"/>
      <color rgb="FF000000"/>
      <sz val="10"/>
    </font>
    <font>
      <name val="Noto Sans CJK SC"/>
      <charset val="1"/>
      <family val="2"/>
      <color rgb="FF595959"/>
      <sz val="9"/>
    </font>
    <font>
      <name val="Noto Sans CJK SC"/>
      <charset val="1"/>
      <family val="2"/>
      <b val="1"/>
      <color rgb="FFFFFFFF"/>
      <sz val="14"/>
    </font>
    <font>
      <name val="Noto Sans CJK SC"/>
      <family val="2"/>
      <b val="1"/>
      <color rgb="FFFFFFFF"/>
      <sz val="10"/>
    </font>
    <font>
      <name val="맑은 고딕"/>
      <charset val="129"/>
      <family val="3"/>
      <sz val="10"/>
    </font>
    <font>
      <name val="Noto Sans CJK SC"/>
      <charset val="1"/>
      <family val="2"/>
      <sz val="10"/>
    </font>
    <font>
      <name val="Noto Sans CJK SC"/>
      <family val="2"/>
      <sz val="10"/>
    </font>
    <font>
      <name val="맑은 고딕"/>
      <charset val="129"/>
      <family val="3"/>
      <color rgb="FF595959"/>
      <sz val="9"/>
    </font>
    <font>
      <name val="Noto Sans CJK SC"/>
      <family val="2"/>
      <color rgb="FF595959"/>
      <sz val="9"/>
    </font>
  </fonts>
  <fills count="6">
    <fill>
      <patternFill/>
    </fill>
    <fill>
      <patternFill patternType="gray125"/>
    </fill>
    <fill>
      <patternFill patternType="solid">
        <fgColor rgb="FF1F3864"/>
        <bgColor rgb="FF333333"/>
      </patternFill>
    </fill>
    <fill>
      <patternFill patternType="solid">
        <fgColor rgb="FFD9E1F2"/>
        <bgColor rgb="FFE7E6E6"/>
      </patternFill>
    </fill>
    <fill>
      <patternFill patternType="solid">
        <fgColor rgb="FF2F5597"/>
        <bgColor rgb="FF1F3864"/>
      </patternFill>
    </fill>
    <fill>
      <patternFill patternType="solid">
        <fgColor rgb="FFFFF2CC"/>
        <bgColor rgb="FF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7">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general" vertical="top" wrapText="1"/>
    </xf>
    <xf numFmtId="0" fontId="6"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1" fillId="0" borderId="1" applyAlignment="1" pivotButton="0" quotePrefix="0" xfId="0">
      <alignment horizontal="center" vertical="center" wrapText="1"/>
    </xf>
    <xf numFmtId="164" fontId="11" fillId="0" borderId="1" applyAlignment="1" pivotButton="0" quotePrefix="0" xfId="0">
      <alignment horizontal="center" vertical="center" wrapText="1"/>
    </xf>
    <xf numFmtId="0" fontId="12"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2" borderId="0" applyAlignment="1" pivotButton="0" quotePrefix="0" xfId="0">
      <alignment horizontal="center" vertical="center" wrapText="1"/>
    </xf>
    <xf numFmtId="0" fontId="6" fillId="5" borderId="1" applyAlignment="1" pivotButton="0" quotePrefix="0" xfId="0">
      <alignment horizontal="general" vertical="top" wrapText="1"/>
    </xf>
    <xf numFmtId="0" fontId="9" fillId="2" borderId="0" applyAlignment="1" pivotButton="0" quotePrefix="0" xfId="0">
      <alignment horizontal="general" vertical="center"/>
    </xf>
    <xf numFmtId="0" fontId="5" fillId="3" borderId="1" applyAlignment="1" pivotButton="0" quotePrefix="0" xfId="0">
      <alignment horizontal="center" vertical="center" wrapText="1"/>
    </xf>
    <xf numFmtId="0" fontId="8"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12" fillId="0" borderId="0" applyAlignment="1" pivotButton="0" quotePrefix="0" xfId="0">
      <alignment horizontal="general" vertical="bottom"/>
    </xf>
    <xf numFmtId="0" fontId="15" fillId="0" borderId="1" applyAlignment="1" pivotButton="0" quotePrefix="0" xfId="0">
      <alignment horizontal="center" vertical="center" wrapText="1"/>
    </xf>
    <xf numFmtId="0" fontId="16"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0" applyAlignment="1" pivotButton="0" quotePrefix="0" xfId="0">
      <alignment horizontal="general" vertical="top" wrapText="1"/>
    </xf>
    <xf numFmtId="49" fontId="1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8" fillId="0" borderId="0" applyAlignment="1" pivotButton="0" quotePrefix="0" xfId="0">
      <alignment horizontal="general" vertical="top" wrapText="1"/>
    </xf>
    <xf numFmtId="0" fontId="8"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4" pivotButton="0" quotePrefix="0" xfId="0"/>
    <xf numFmtId="0" fontId="0" fillId="0" borderId="5" pivotButton="0" quotePrefix="0" xfId="0"/>
    <xf numFmtId="0" fontId="8" fillId="0" borderId="1" applyAlignment="1" pivotButton="0" quotePrefix="0" xfId="0">
      <alignment horizontal="general" vertical="top" wrapText="1"/>
    </xf>
    <xf numFmtId="0" fontId="9"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1" fillId="0" borderId="1" applyAlignment="1" pivotButton="0" quotePrefix="0" xfId="0">
      <alignment horizontal="center" vertical="center" wrapText="1"/>
    </xf>
    <xf numFmtId="164" fontId="11" fillId="0" borderId="1" applyAlignment="1" pivotButton="0" quotePrefix="0" xfId="0">
      <alignment horizontal="center" vertical="center" wrapText="1"/>
    </xf>
    <xf numFmtId="0" fontId="12" fillId="0" borderId="0" applyAlignment="1" pivotButton="0" quotePrefix="0" xfId="0">
      <alignment horizontal="general" vertical="top" wrapText="1"/>
    </xf>
    <xf numFmtId="0" fontId="13" fillId="2" borderId="0" applyAlignment="1" pivotButton="0" quotePrefix="0" xfId="0">
      <alignment horizontal="center" vertical="center" wrapText="1"/>
    </xf>
    <xf numFmtId="0" fontId="6" fillId="5" borderId="1" applyAlignment="1" pivotButton="0" quotePrefix="0" xfId="0">
      <alignment horizontal="general" vertical="top" wrapText="1"/>
    </xf>
    <xf numFmtId="0" fontId="9" fillId="2" borderId="0" applyAlignment="1" pivotButton="0" quotePrefix="0" xfId="0">
      <alignment horizontal="general" vertical="center"/>
    </xf>
    <xf numFmtId="0" fontId="5" fillId="3" borderId="1" applyAlignment="1" pivotButton="0" quotePrefix="0" xfId="0">
      <alignment horizontal="center" vertical="center" wrapText="1"/>
    </xf>
    <xf numFmtId="0" fontId="8"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12" fillId="0" borderId="0" applyAlignment="1" pivotButton="0" quotePrefix="0" xfId="0">
      <alignment horizontal="general" vertical="bottom"/>
    </xf>
    <xf numFmtId="0" fontId="15" fillId="0" borderId="1" applyAlignment="1" pivotButton="0" quotePrefix="0" xfId="0">
      <alignment horizontal="center" vertical="center" wrapText="1"/>
    </xf>
    <xf numFmtId="0" fontId="16"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0" applyAlignment="1" pivotButton="0" quotePrefix="0" xfId="0">
      <alignment horizontal="general" vertical="top" wrapText="1"/>
    </xf>
    <xf numFmtId="49" fontId="15" fillId="0" borderId="1" applyAlignment="1" pivotButton="0" quotePrefix="0" xfId="0">
      <alignment horizontal="center" vertical="center" wrapText="1"/>
    </xf>
    <xf numFmtId="0" fontId="18" fillId="0" borderId="0" applyAlignment="1" pivotButton="0" quotePrefix="0" xfId="0">
      <alignment horizontal="general" vertical="top" wrapText="1"/>
    </xf>
    <xf numFmtId="0" fontId="8"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맑은 고딕"/>
        <charset val="1"/>
        <family val="0"/>
        <b val="1"/>
        <color rgb="FF006100"/>
      </font>
      <fill>
        <patternFill>
          <bgColor rgb="FFC6EFCE"/>
        </patternFill>
      </fill>
    </dxf>
    <dxf>
      <font>
        <name val="맑은 고딕"/>
        <charset val="1"/>
        <family val="0"/>
        <b val="1"/>
        <color rgb="FF9C0006"/>
      </font>
      <fill>
        <patternFill>
          <bgColor rgb="FFFFC7CE"/>
        </patternFill>
      </fill>
    </dxf>
    <dxf>
      <font>
        <name val="맑은 고딕"/>
        <charset val="1"/>
        <family val="0"/>
        <b val="1"/>
        <color rgb="FF9C5700"/>
      </font>
      <fill>
        <patternFill>
          <bgColor rgb="FFFFEB9C"/>
        </patternFill>
      </fill>
    </dxf>
    <dxf>
      <font>
        <name val="맑은 고딕"/>
        <charset val="1"/>
        <family val="0"/>
        <b val="1"/>
        <color rgb="FF595959"/>
      </font>
      <fill>
        <patternFill>
          <bgColor rgb="FFE7E6E6"/>
        </patternFill>
      </fill>
    </dxf>
    <dxf>
      <font>
        <name val="맑은 고딕"/>
        <charset val="1"/>
        <family val="0"/>
        <b val="1"/>
        <color rgb="FF7F7F7F"/>
      </font>
      <fill>
        <patternFill>
          <bgColor rgb="FFF2F2F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7E6E6"/>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59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I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F34" activeCellId="0" sqref="F34"/>
    </sheetView>
  </sheetViews>
  <sheetFormatPr baseColWidth="8" defaultColWidth="8.71484375" defaultRowHeight="15" zeroHeight="0" outlineLevelRow="0"/>
  <cols>
    <col width="16" customWidth="1" style="28" min="1" max="1"/>
    <col width="9" customWidth="1" style="28" min="2" max="7"/>
    <col width="10" customWidth="1" style="28" min="8" max="9"/>
  </cols>
  <sheetData>
    <row r="1" ht="30" customHeight="1" s="29">
      <c r="A1" s="30" t="inlineStr">
        <is>
          <t>Test Report</t>
        </is>
      </c>
    </row>
    <row r="3" ht="15" customHeight="1" s="29">
      <c r="A3" s="31" t="inlineStr">
        <is>
          <t>마일스톤(빌드)</t>
        </is>
      </c>
      <c r="B3" s="32" t="inlineStr">
        <is>
          <t>1.6.61 (10/15 정기점검)</t>
        </is>
      </c>
      <c r="C3" s="33" t="n"/>
      <c r="D3" s="33" t="n"/>
      <c r="E3" s="33" t="n"/>
      <c r="F3" s="33" t="n"/>
      <c r="G3" s="33" t="n"/>
      <c r="H3" s="33" t="n"/>
      <c r="I3" s="34" t="n"/>
    </row>
    <row r="4" ht="15" customHeight="1" s="29">
      <c r="A4" s="31" t="inlineStr">
        <is>
          <t>테스트 기간</t>
        </is>
      </c>
      <c r="B4" s="32" t="inlineStr">
        <is>
          <t>2026-10-15 ~ 2026-10-22</t>
        </is>
      </c>
      <c r="C4" s="33" t="n"/>
      <c r="D4" s="33" t="n"/>
      <c r="E4" s="33" t="n"/>
      <c r="F4" s="33" t="n"/>
      <c r="G4" s="33" t="n"/>
      <c r="H4" s="33" t="n"/>
      <c r="I4" s="34" t="n"/>
    </row>
    <row r="5" ht="15" customHeight="1" s="29">
      <c r="A5" s="31" t="inlineStr">
        <is>
          <t>담당자</t>
        </is>
      </c>
      <c r="B5" s="35" t="inlineStr">
        <is>
          <t>김성재</t>
        </is>
      </c>
      <c r="C5" s="33" t="n"/>
      <c r="D5" s="33" t="n"/>
      <c r="E5" s="33" t="n"/>
      <c r="F5" s="33" t="n"/>
      <c r="G5" s="33" t="n"/>
      <c r="H5" s="33" t="n"/>
      <c r="I5" s="34" t="n"/>
    </row>
    <row r="6" ht="15" customHeight="1" s="29">
      <c r="A6" s="31" t="inlineStr">
        <is>
          <t>테스트 환경</t>
        </is>
      </c>
      <c r="B6" s="32" t="inlineStr">
        <is>
          <t>iPhone 14 (iOS 18.7.8), MuMu 앱플레이어 (Android)</t>
        </is>
      </c>
      <c r="C6" s="33" t="n"/>
      <c r="D6" s="33" t="n"/>
      <c r="E6" s="33" t="n"/>
      <c r="F6" s="33" t="n"/>
      <c r="G6" s="33" t="n"/>
      <c r="H6" s="33" t="n"/>
      <c r="I6" s="34" t="n"/>
    </row>
    <row r="8" ht="15" customHeight="1" s="29">
      <c r="A8" s="36" t="inlineStr">
        <is>
          <t>테스트 항목</t>
        </is>
      </c>
      <c r="B8" s="37" t="inlineStr">
        <is>
          <t>Pass</t>
        </is>
      </c>
      <c r="C8" s="37" t="inlineStr">
        <is>
          <t>Fail</t>
        </is>
      </c>
      <c r="D8" s="37" t="inlineStr">
        <is>
          <t>Block</t>
        </is>
      </c>
      <c r="E8" s="37" t="inlineStr">
        <is>
          <t>N/A</t>
        </is>
      </c>
      <c r="F8" s="37" t="inlineStr">
        <is>
          <t>N/T</t>
        </is>
      </c>
      <c r="G8" s="37" t="inlineStr">
        <is>
          <t>Total</t>
        </is>
      </c>
      <c r="H8" s="36" t="inlineStr">
        <is>
          <t>진행률</t>
        </is>
      </c>
      <c r="I8" s="36" t="inlineStr">
        <is>
          <t>성공률</t>
        </is>
      </c>
    </row>
    <row r="9" ht="15" customHeight="1" s="29">
      <c r="A9" s="31" t="inlineStr">
        <is>
          <t>오류 수정</t>
        </is>
      </c>
      <c r="B9" s="38">
        <f>SUMPRODUCT(ISNUMBER(TC!$A$4:$A$123)*(TC!$C$4:$C$123=$A9)*(TC!$J$4:$J$123="Pass"))+SUMPRODUCT(ISNUMBER(TC!$A$4:$A$123)*(TC!$C$4:$C$123=$A9)*(TC!$J$4:$J$123="")*(TC!$I$4:$I$123="Pass"))</f>
        <v/>
      </c>
      <c r="C9" s="38">
        <f>SUMPRODUCT(ISNUMBER(TC!$A$4:$A$123)*(TC!$C$4:$C$123=$A9)*(TC!$J$4:$J$123="Fail"))+SUMPRODUCT(ISNUMBER(TC!$A$4:$A$123)*(TC!$C$4:$C$123=$A9)*(TC!$J$4:$J$123="")*(TC!$I$4:$I$123="Fail"))</f>
        <v/>
      </c>
      <c r="D9" s="38">
        <f>SUMPRODUCT(ISNUMBER(TC!$A$4:$A$123)*(TC!$C$4:$C$123=$A9)*(TC!$J$4:$J$123="Block"))+SUMPRODUCT(ISNUMBER(TC!$A$4:$A$123)*(TC!$C$4:$C$123=$A9)*(TC!$J$4:$J$123="")*(TC!$I$4:$I$123="Block"))</f>
        <v/>
      </c>
      <c r="E9" s="38">
        <f>SUMPRODUCT(ISNUMBER(TC!$A$4:$A$123)*(TC!$C$4:$C$123=$A9)*(TC!$J$4:$J$123="N/A"))+SUMPRODUCT(ISNUMBER(TC!$A$4:$A$123)*(TC!$C$4:$C$123=$A9)*(TC!$J$4:$J$123="")*(TC!$I$4:$I$123="N/A"))</f>
        <v/>
      </c>
      <c r="F9" s="38">
        <f>SUMPRODUCT(ISNUMBER(TC!$A$4:$A$123)*(TC!$C$4:$C$123=$A9)*(TC!$J$4:$J$123="N/T"))+SUMPRODUCT(ISNUMBER(TC!$A$4:$A$123)*(TC!$C$4:$C$123=$A9)*(TC!$J$4:$J$123="")*(TC!$I$4:$I$123="N/T"))+SUMPRODUCT(ISNUMBER(TC!$A$4:$A$123)*(TC!$C$4:$C$123=$A9)*(TC!$J$4:$J$123="")*(TC!$I$4:$I$123=""))</f>
        <v/>
      </c>
      <c r="G9" s="38">
        <f>SUMPRODUCT(ISNUMBER(TC!$A$4:$A$123)*(TC!$C$4:$C$123=$A9))</f>
        <v/>
      </c>
      <c r="H9" s="39">
        <f>IF(G9=0,0,(G9-F9)/G9)</f>
        <v/>
      </c>
      <c r="I9" s="39">
        <f>IF(G9-E9=0,0,B9/(G9-E9))</f>
        <v/>
      </c>
    </row>
    <row r="10" ht="15" customHeight="1" s="29">
      <c r="A10" s="31" t="inlineStr">
        <is>
          <t>신규 콘텐츠</t>
        </is>
      </c>
      <c r="B10" s="38">
        <f>SUMPRODUCT(ISNUMBER(TC!$A$4:$A$123)*(TC!$C$4:$C$123=$A10)*(TC!$J$4:$J$123="Pass"))+SUMPRODUCT(ISNUMBER(TC!$A$4:$A$123)*(TC!$C$4:$C$123=$A10)*(TC!$J$4:$J$123="")*(TC!$I$4:$I$123="Pass"))</f>
        <v/>
      </c>
      <c r="C10" s="38">
        <f>SUMPRODUCT(ISNUMBER(TC!$A$4:$A$123)*(TC!$C$4:$C$123=$A10)*(TC!$J$4:$J$123="Fail"))+SUMPRODUCT(ISNUMBER(TC!$A$4:$A$123)*(TC!$C$4:$C$123=$A10)*(TC!$J$4:$J$123="")*(TC!$I$4:$I$123="Fail"))</f>
        <v/>
      </c>
      <c r="D10" s="38">
        <f>SUMPRODUCT(ISNUMBER(TC!$A$4:$A$123)*(TC!$C$4:$C$123=$A10)*(TC!$J$4:$J$123="Block"))+SUMPRODUCT(ISNUMBER(TC!$A$4:$A$123)*(TC!$C$4:$C$123=$A10)*(TC!$J$4:$J$123="")*(TC!$I$4:$I$123="Block"))</f>
        <v/>
      </c>
      <c r="E10" s="38">
        <f>SUMPRODUCT(ISNUMBER(TC!$A$4:$A$123)*(TC!$C$4:$C$123=$A10)*(TC!$J$4:$J$123="N/A"))+SUMPRODUCT(ISNUMBER(TC!$A$4:$A$123)*(TC!$C$4:$C$123=$A10)*(TC!$J$4:$J$123="")*(TC!$I$4:$I$123="N/A"))</f>
        <v/>
      </c>
      <c r="F10" s="38">
        <f>SUMPRODUCT(ISNUMBER(TC!$A$4:$A$123)*(TC!$C$4:$C$123=$A10)*(TC!$J$4:$J$123="N/T"))+SUMPRODUCT(ISNUMBER(TC!$A$4:$A$123)*(TC!$C$4:$C$123=$A10)*(TC!$J$4:$J$123="")*(TC!$I$4:$I$123="N/T"))+SUMPRODUCT(ISNUMBER(TC!$A$4:$A$123)*(TC!$C$4:$C$123=$A10)*(TC!$J$4:$J$123="")*(TC!$I$4:$I$123=""))</f>
        <v/>
      </c>
      <c r="G10" s="38">
        <f>SUMPRODUCT(ISNUMBER(TC!$A$4:$A$123)*(TC!$C$4:$C$123=$A10))</f>
        <v/>
      </c>
      <c r="H10" s="39">
        <f>IF(G10=0,0,(G10-F10)/G10)</f>
        <v/>
      </c>
      <c r="I10" s="39">
        <f>IF(G10-E10=0,0,B10/(G10-E10))</f>
        <v/>
      </c>
    </row>
    <row r="11" ht="15" customHeight="1" s="29">
      <c r="A11" s="31" t="inlineStr">
        <is>
          <t>개선</t>
        </is>
      </c>
      <c r="B11" s="38">
        <f>SUMPRODUCT(ISNUMBER(TC!$A$4:$A$123)*(TC!$C$4:$C$123=$A11)*(TC!$J$4:$J$123="Pass"))+SUMPRODUCT(ISNUMBER(TC!$A$4:$A$123)*(TC!$C$4:$C$123=$A11)*(TC!$J$4:$J$123="")*(TC!$I$4:$I$123="Pass"))</f>
        <v/>
      </c>
      <c r="C11" s="38">
        <f>SUMPRODUCT(ISNUMBER(TC!$A$4:$A$123)*(TC!$C$4:$C$123=$A11)*(TC!$J$4:$J$123="Fail"))+SUMPRODUCT(ISNUMBER(TC!$A$4:$A$123)*(TC!$C$4:$C$123=$A11)*(TC!$J$4:$J$123="")*(TC!$I$4:$I$123="Fail"))</f>
        <v/>
      </c>
      <c r="D11" s="38">
        <f>SUMPRODUCT(ISNUMBER(TC!$A$4:$A$123)*(TC!$C$4:$C$123=$A11)*(TC!$J$4:$J$123="Block"))+SUMPRODUCT(ISNUMBER(TC!$A$4:$A$123)*(TC!$C$4:$C$123=$A11)*(TC!$J$4:$J$123="")*(TC!$I$4:$I$123="Block"))</f>
        <v/>
      </c>
      <c r="E11" s="38">
        <f>SUMPRODUCT(ISNUMBER(TC!$A$4:$A$123)*(TC!$C$4:$C$123=$A11)*(TC!$J$4:$J$123="N/A"))+SUMPRODUCT(ISNUMBER(TC!$A$4:$A$123)*(TC!$C$4:$C$123=$A11)*(TC!$J$4:$J$123="")*(TC!$I$4:$I$123="N/A"))</f>
        <v/>
      </c>
      <c r="F11" s="38">
        <f>SUMPRODUCT(ISNUMBER(TC!$A$4:$A$123)*(TC!$C$4:$C$123=$A11)*(TC!$J$4:$J$123="N/T"))+SUMPRODUCT(ISNUMBER(TC!$A$4:$A$123)*(TC!$C$4:$C$123=$A11)*(TC!$J$4:$J$123="")*(TC!$I$4:$I$123="N/T"))+SUMPRODUCT(ISNUMBER(TC!$A$4:$A$123)*(TC!$C$4:$C$123=$A11)*(TC!$J$4:$J$123="")*(TC!$I$4:$I$123=""))</f>
        <v/>
      </c>
      <c r="G11" s="38">
        <f>SUMPRODUCT(ISNUMBER(TC!$A$4:$A$123)*(TC!$C$4:$C$123=$A11))</f>
        <v/>
      </c>
      <c r="H11" s="39">
        <f>IF(G11=0,0,(G11-F11)/G11)</f>
        <v/>
      </c>
      <c r="I11" s="39">
        <f>IF(G11-E11=0,0,B11/(G11-E11))</f>
        <v/>
      </c>
    </row>
    <row r="12" ht="15" customHeight="1" s="29">
      <c r="A12" s="31" t="inlineStr">
        <is>
          <t>이벤트·상점</t>
        </is>
      </c>
      <c r="B12" s="38">
        <f>SUMPRODUCT(ISNUMBER(TC!$A$4:$A$123)*(TC!$C$4:$C$123=$A12)*(TC!$J$4:$J$123="Pass"))+SUMPRODUCT(ISNUMBER(TC!$A$4:$A$123)*(TC!$C$4:$C$123=$A12)*(TC!$J$4:$J$123="")*(TC!$I$4:$I$123="Pass"))</f>
        <v/>
      </c>
      <c r="C12" s="38">
        <f>SUMPRODUCT(ISNUMBER(TC!$A$4:$A$123)*(TC!$C$4:$C$123=$A12)*(TC!$J$4:$J$123="Fail"))+SUMPRODUCT(ISNUMBER(TC!$A$4:$A$123)*(TC!$C$4:$C$123=$A12)*(TC!$J$4:$J$123="")*(TC!$I$4:$I$123="Fail"))</f>
        <v/>
      </c>
      <c r="D12" s="38">
        <f>SUMPRODUCT(ISNUMBER(TC!$A$4:$A$123)*(TC!$C$4:$C$123=$A12)*(TC!$J$4:$J$123="Block"))+SUMPRODUCT(ISNUMBER(TC!$A$4:$A$123)*(TC!$C$4:$C$123=$A12)*(TC!$J$4:$J$123="")*(TC!$I$4:$I$123="Block"))</f>
        <v/>
      </c>
      <c r="E12" s="38">
        <f>SUMPRODUCT(ISNUMBER(TC!$A$4:$A$123)*(TC!$C$4:$C$123=$A12)*(TC!$J$4:$J$123="N/A"))+SUMPRODUCT(ISNUMBER(TC!$A$4:$A$123)*(TC!$C$4:$C$123=$A12)*(TC!$J$4:$J$123="")*(TC!$I$4:$I$123="N/A"))</f>
        <v/>
      </c>
      <c r="F12" s="38">
        <f>SUMPRODUCT(ISNUMBER(TC!$A$4:$A$123)*(TC!$C$4:$C$123=$A12)*(TC!$J$4:$J$123="N/T"))+SUMPRODUCT(ISNUMBER(TC!$A$4:$A$123)*(TC!$C$4:$C$123=$A12)*(TC!$J$4:$J$123="")*(TC!$I$4:$I$123="N/T"))+SUMPRODUCT(ISNUMBER(TC!$A$4:$A$123)*(TC!$C$4:$C$123=$A12)*(TC!$J$4:$J$123="")*(TC!$I$4:$I$123=""))</f>
        <v/>
      </c>
      <c r="G12" s="38">
        <f>SUMPRODUCT(ISNUMBER(TC!$A$4:$A$123)*(TC!$C$4:$C$123=$A12))</f>
        <v/>
      </c>
      <c r="H12" s="39">
        <f>IF(G12=0,0,(G12-F12)/G12)</f>
        <v/>
      </c>
      <c r="I12" s="39">
        <f>IF(G12-E12=0,0,B12/(G12-E12))</f>
        <v/>
      </c>
    </row>
    <row r="13" ht="15" customHeight="1" s="29">
      <c r="A13" s="31" t="inlineStr">
        <is>
          <t>밸런스</t>
        </is>
      </c>
      <c r="B13" s="38">
        <f>SUMPRODUCT(ISNUMBER(TC!$A$4:$A$123)*(TC!$C$4:$C$123=$A13)*(TC!$J$4:$J$123="Pass"))+SUMPRODUCT(ISNUMBER(TC!$A$4:$A$123)*(TC!$C$4:$C$123=$A13)*(TC!$J$4:$J$123="")*(TC!$I$4:$I$123="Pass"))</f>
        <v/>
      </c>
      <c r="C13" s="38">
        <f>SUMPRODUCT(ISNUMBER(TC!$A$4:$A$123)*(TC!$C$4:$C$123=$A13)*(TC!$J$4:$J$123="Fail"))+SUMPRODUCT(ISNUMBER(TC!$A$4:$A$123)*(TC!$C$4:$C$123=$A13)*(TC!$J$4:$J$123="")*(TC!$I$4:$I$123="Fail"))</f>
        <v/>
      </c>
      <c r="D13" s="38">
        <f>SUMPRODUCT(ISNUMBER(TC!$A$4:$A$123)*(TC!$C$4:$C$123=$A13)*(TC!$J$4:$J$123="Block"))+SUMPRODUCT(ISNUMBER(TC!$A$4:$A$123)*(TC!$C$4:$C$123=$A13)*(TC!$J$4:$J$123="")*(TC!$I$4:$I$123="Block"))</f>
        <v/>
      </c>
      <c r="E13" s="38">
        <f>SUMPRODUCT(ISNUMBER(TC!$A$4:$A$123)*(TC!$C$4:$C$123=$A13)*(TC!$J$4:$J$123="N/A"))+SUMPRODUCT(ISNUMBER(TC!$A$4:$A$123)*(TC!$C$4:$C$123=$A13)*(TC!$J$4:$J$123="")*(TC!$I$4:$I$123="N/A"))</f>
        <v/>
      </c>
      <c r="F13" s="38">
        <f>SUMPRODUCT(ISNUMBER(TC!$A$4:$A$123)*(TC!$C$4:$C$123=$A13)*(TC!$J$4:$J$123="N/T"))+SUMPRODUCT(ISNUMBER(TC!$A$4:$A$123)*(TC!$C$4:$C$123=$A13)*(TC!$J$4:$J$123="")*(TC!$I$4:$I$123="N/T"))+SUMPRODUCT(ISNUMBER(TC!$A$4:$A$123)*(TC!$C$4:$C$123=$A13)*(TC!$J$4:$J$123="")*(TC!$I$4:$I$123=""))</f>
        <v/>
      </c>
      <c r="G13" s="38">
        <f>SUMPRODUCT(ISNUMBER(TC!$A$4:$A$123)*(TC!$C$4:$C$123=$A13))</f>
        <v/>
      </c>
      <c r="H13" s="39">
        <f>IF(G13=0,0,(G13-F13)/G13)</f>
        <v/>
      </c>
      <c r="I13" s="39">
        <f>IF(G13-E13=0,0,B13/(G13-E13))</f>
        <v/>
      </c>
    </row>
    <row r="14" ht="15" customHeight="1" s="29">
      <c r="A14" s="31" t="inlineStr">
        <is>
          <t>합계</t>
        </is>
      </c>
      <c r="B14" s="40">
        <f>SUM(B9:B13)</f>
        <v/>
      </c>
      <c r="C14" s="40">
        <f>SUM(C9:C13)</f>
        <v/>
      </c>
      <c r="D14" s="40">
        <f>SUM(D9:D13)</f>
        <v/>
      </c>
      <c r="E14" s="40">
        <f>SUM(E9:E13)</f>
        <v/>
      </c>
      <c r="F14" s="40">
        <f>SUM(F9:F13)</f>
        <v/>
      </c>
      <c r="G14" s="40">
        <f>SUM(G9:G13)</f>
        <v/>
      </c>
      <c r="H14" s="41">
        <f>IF(G14=0,0,(G14-F14)/G14)</f>
        <v/>
      </c>
      <c r="I14" s="41">
        <f>IF(G14-E14=0,0,B14/(G14-E14))</f>
        <v/>
      </c>
    </row>
    <row r="15" ht="15" customHeight="1" s="29">
      <c r="A15" s="42" t="n"/>
    </row>
    <row r="16" ht="26.25" customHeight="1" s="29">
      <c r="A16" s="42" t="inlineStr">
        <is>
          <t>※ 대분류는 TC 시트 C열 값으로 집계합니다. 2차 결과가 있으면 2차, 없으면 1차 기준이며 빈 칸은 N/T로 셉니다.</t>
        </is>
      </c>
    </row>
    <row r="17" ht="15" customHeight="1" s="29">
      <c r="A17" s="42" t="inlineStr">
        <is>
          <t>결과 값: Pass 기대 결과와 일치 / Fail 기대 결과와 다름(BTS에 Jira 키) / Block 다른 문제로 진행 불가(비고에 사유) / N/A 이 환경·계정에 해당 없음 / N/T 아직 실행 안 함</t>
        </is>
      </c>
    </row>
    <row r="18" ht="15" customHeight="1" s="29">
      <c r="A18" s="42" t="inlineStr">
        <is>
          <t>진행률 = (전체 − N/T) ÷ 전체, 성공률 = Pass ÷ (전체 − N/A)</t>
        </is>
      </c>
    </row>
  </sheetData>
  <mergeCells count="8">
    <mergeCell ref="B6:I6"/>
    <mergeCell ref="A1:I1"/>
    <mergeCell ref="A17:I17"/>
    <mergeCell ref="B3:I3"/>
    <mergeCell ref="B5:I5"/>
    <mergeCell ref="A18:I18"/>
    <mergeCell ref="B4:I4"/>
    <mergeCell ref="A16:I16"/>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31" activeCellId="0" sqref="C31"/>
    </sheetView>
  </sheetViews>
  <sheetFormatPr baseColWidth="8" defaultColWidth="8.71484375" defaultRowHeight="15" zeroHeight="0" outlineLevelRow="0"/>
  <cols>
    <col width="9" customWidth="1" style="28" min="1" max="1"/>
    <col width="12" customWidth="1" style="28" min="2" max="2"/>
    <col width="30" customWidth="1" style="28" min="3" max="3"/>
    <col width="38" customWidth="1" style="28" min="4" max="4"/>
    <col width="10" customWidth="1" style="28" min="5" max="5"/>
    <col width="38" customWidth="1" style="28" min="6" max="6"/>
    <col width="9" customWidth="1" style="28" min="7" max="7"/>
    <col width="12" customWidth="1" style="28" min="8" max="8"/>
    <col width="18.14" customWidth="1" style="28" min="9" max="9"/>
  </cols>
  <sheetData>
    <row r="1" ht="30" customHeight="1" s="29">
      <c r="A1" s="43" t="inlineStr">
        <is>
          <t>트릭컬 리바이브 — 10/15 업데이트 검증 테스트 계획</t>
        </is>
      </c>
    </row>
    <row r="3" ht="18" customHeight="1" s="29">
      <c r="A3" s="31" t="inlineStr">
        <is>
          <t>대상</t>
        </is>
      </c>
      <c r="B3" s="35" t="inlineStr">
        <is>
          <t>트릭컬 리바이브 10/15(목) 정기점검 업데이트</t>
        </is>
      </c>
      <c r="C3" s="33" t="n"/>
      <c r="D3" s="33" t="n"/>
      <c r="E3" s="33" t="n"/>
      <c r="F3" s="33" t="n"/>
      <c r="G3" s="33" t="n"/>
      <c r="H3" s="33" t="n"/>
      <c r="I3" s="34" t="n"/>
    </row>
    <row r="4" ht="30" customHeight="1" s="29">
      <c r="A4" s="31" t="inlineStr">
        <is>
          <t>근거 자료</t>
        </is>
      </c>
      <c r="B4" s="35" t="inlineStr">
        <is>
          <t>공식 공지 '10월 15일(목) 업데이트 예정 내역 안내' (네이버 게임 라운지 게시글 8324916). 예정 내역이라 실제 적용 내용은 게임 안에서 다시 대조</t>
        </is>
      </c>
      <c r="C4" s="33" t="n"/>
      <c r="D4" s="33" t="n"/>
      <c r="E4" s="33" t="n"/>
      <c r="F4" s="33" t="n"/>
      <c r="G4" s="33" t="n"/>
      <c r="H4" s="33" t="n"/>
      <c r="I4" s="34" t="n"/>
    </row>
    <row r="5" ht="18" customHeight="1" s="29">
      <c r="A5" s="31" t="inlineStr">
        <is>
          <t>앱 버전</t>
        </is>
      </c>
      <c r="B5" s="32" t="inlineStr">
        <is>
          <t>1.6.61</t>
        </is>
      </c>
      <c r="C5" s="33" t="n"/>
      <c r="D5" s="33" t="n"/>
      <c r="E5" s="33" t="n"/>
      <c r="F5" s="33" t="n"/>
      <c r="G5" s="33" t="n"/>
      <c r="H5" s="33" t="n"/>
      <c r="I5" s="34" t="n"/>
    </row>
    <row r="6" ht="18" customHeight="1" s="29">
      <c r="A6" s="31" t="inlineStr">
        <is>
          <t>기기 1</t>
        </is>
      </c>
      <c r="B6" s="32" t="inlineStr">
        <is>
          <t>iPhone 14 / iOS 18.7.8</t>
        </is>
      </c>
      <c r="C6" s="33" t="n"/>
      <c r="D6" s="33" t="n"/>
      <c r="E6" s="33" t="n"/>
      <c r="F6" s="33" t="n"/>
      <c r="G6" s="33" t="n"/>
      <c r="H6" s="33" t="n"/>
      <c r="I6" s="34" t="n"/>
    </row>
    <row r="7" ht="18" customHeight="1" s="29">
      <c r="A7" s="31" t="inlineStr">
        <is>
          <t>기기 2</t>
        </is>
      </c>
      <c r="B7" s="44" t="inlineStr">
        <is>
          <t>MuMu 앱플레이어 / Android 버전: Android 15, 4코어, 6GB, Galaxy A52s 5G</t>
        </is>
      </c>
      <c r="C7" s="33" t="n"/>
      <c r="D7" s="33" t="n"/>
      <c r="E7" s="33" t="n"/>
      <c r="F7" s="33" t="n"/>
      <c r="G7" s="33" t="n"/>
      <c r="H7" s="33" t="n"/>
      <c r="I7" s="34" t="n"/>
    </row>
    <row r="8" ht="18" customHeight="1" s="29">
      <c r="A8" s="31" t="inlineStr">
        <is>
          <t>계정 조건</t>
        </is>
      </c>
      <c r="B8" s="35" t="inlineStr">
        <is>
          <t>계정 생성 181일 이상(숙련 교주 그룹) / 메인 스토리 39-10 진행 / 차원 대충돌 참여 가능 / Apple 연동</t>
        </is>
      </c>
      <c r="C8" s="33" t="n"/>
      <c r="D8" s="33" t="n"/>
      <c r="E8" s="33" t="n"/>
      <c r="F8" s="33" t="n"/>
      <c r="G8" s="33" t="n"/>
      <c r="H8" s="33" t="n"/>
      <c r="I8" s="34" t="n"/>
    </row>
    <row r="9" ht="18" customHeight="1" s="29">
      <c r="A9" s="31" t="inlineStr">
        <is>
          <t>테스트 기간</t>
        </is>
      </c>
      <c r="B9" s="32" t="inlineStr">
        <is>
          <t>2026-10-15 ~ 2026-10-22 (기간 한정 콘텐츠 종료: 10/22 10:59)</t>
        </is>
      </c>
      <c r="C9" s="33" t="n"/>
      <c r="D9" s="33" t="n"/>
      <c r="E9" s="33" t="n"/>
      <c r="F9" s="33" t="n"/>
      <c r="G9" s="33" t="n"/>
      <c r="H9" s="33" t="n"/>
      <c r="I9" s="34" t="n"/>
    </row>
    <row r="10" ht="18" customHeight="1" s="29">
      <c r="A10" s="31" t="inlineStr">
        <is>
          <t>담당자</t>
        </is>
      </c>
      <c r="B10" s="35" t="inlineStr">
        <is>
          <t>김성재</t>
        </is>
      </c>
      <c r="C10" s="33" t="n"/>
      <c r="D10" s="33" t="n"/>
      <c r="E10" s="33" t="n"/>
      <c r="F10" s="33" t="n"/>
      <c r="G10" s="33" t="n"/>
      <c r="H10" s="33" t="n"/>
      <c r="I10" s="34" t="n"/>
    </row>
    <row r="11" ht="18" customHeight="1" s="29">
      <c r="A11" s="31" t="inlineStr">
        <is>
          <t>제외 사항</t>
        </is>
      </c>
      <c r="B11" s="35" t="inlineStr">
        <is>
          <t>유료 결제는 하지 않음. 상점 항목은 화면 표시(가격·할인율·판매 기간)까지만 확인</t>
        </is>
      </c>
      <c r="C11" s="33" t="n"/>
      <c r="D11" s="33" t="n"/>
      <c r="E11" s="33" t="n"/>
      <c r="F11" s="33" t="n"/>
      <c r="G11" s="33" t="n"/>
      <c r="H11" s="33" t="n"/>
      <c r="I11" s="34" t="n"/>
    </row>
    <row r="13" ht="15" customHeight="1" s="29">
      <c r="A13" s="45" t="inlineStr">
        <is>
          <t>우선순위 기준</t>
        </is>
      </c>
    </row>
    <row r="14" ht="15" customHeight="1" s="29">
      <c r="A14" s="46" t="inlineStr">
        <is>
          <t>상</t>
        </is>
      </c>
      <c r="B14" s="35" t="inlineStr">
        <is>
          <t>공지에 '수정했다'고 명시된 오류. 업데이트가 제대로 적용됐는지를 직접 보여 주는 항목</t>
        </is>
      </c>
      <c r="C14" s="33" t="n"/>
      <c r="D14" s="33" t="n"/>
      <c r="E14" s="33" t="n"/>
      <c r="F14" s="33" t="n"/>
      <c r="G14" s="33" t="n"/>
      <c r="H14" s="33" t="n"/>
      <c r="I14" s="34" t="n"/>
    </row>
    <row r="15" ht="15" customHeight="1" s="29">
      <c r="A15" s="46" t="inlineStr">
        <is>
          <t>중</t>
        </is>
      </c>
      <c r="B15" s="32" t="inlineStr">
        <is>
          <t>10/22 10:59에 끝나는 기간 한정 콘텐츠. 기간 안에 확인하지 못하면 다시 확인할 기회가 없음</t>
        </is>
      </c>
      <c r="C15" s="33" t="n"/>
      <c r="D15" s="33" t="n"/>
      <c r="E15" s="33" t="n"/>
      <c r="F15" s="33" t="n"/>
      <c r="G15" s="33" t="n"/>
      <c r="H15" s="33" t="n"/>
      <c r="I15" s="34" t="n"/>
    </row>
    <row r="16" ht="15" customHeight="1" s="29">
      <c r="A16" s="46" t="inlineStr">
        <is>
          <t>하</t>
        </is>
      </c>
      <c r="B16" s="35" t="inlineStr">
        <is>
          <t>기간 제한이 없어 언제든 확인할 수 있는 추가·개선 항목</t>
        </is>
      </c>
      <c r="C16" s="33" t="n"/>
      <c r="D16" s="33" t="n"/>
      <c r="E16" s="33" t="n"/>
      <c r="F16" s="33" t="n"/>
      <c r="G16" s="33" t="n"/>
      <c r="H16" s="33" t="n"/>
      <c r="I16" s="34" t="n"/>
    </row>
    <row r="17" ht="15" customHeight="1" s="29">
      <c r="A17" s="46" t="inlineStr">
        <is>
          <t>위험도</t>
        </is>
      </c>
      <c r="B17" s="35" t="inlineStr">
        <is>
          <t>우선순위 = 발생 가능성 × 문제가 생겼을 때 플레이어가 받는 영향. 기간 제약은 영향에 포함해 판단</t>
        </is>
      </c>
      <c r="C17" s="33" t="n"/>
      <c r="D17" s="33" t="n"/>
      <c r="E17" s="33" t="n"/>
      <c r="F17" s="33" t="n"/>
      <c r="G17" s="33" t="n"/>
      <c r="H17" s="33" t="n"/>
      <c r="I17" s="34" t="n"/>
    </row>
    <row r="19" ht="15" customHeight="1" s="29">
      <c r="A19" s="45" t="inlineStr">
        <is>
          <t>테스트 범위</t>
        </is>
      </c>
    </row>
    <row r="20" ht="15" customHeight="1" s="29">
      <c r="A20" s="37" t="inlineStr">
        <is>
          <t>No</t>
        </is>
      </c>
      <c r="B20" s="36" t="inlineStr">
        <is>
          <t>분류</t>
        </is>
      </c>
      <c r="C20" s="36" t="inlineStr">
        <is>
          <t>항목</t>
        </is>
      </c>
      <c r="D20" s="36" t="inlineStr">
        <is>
          <t>확인할 것</t>
        </is>
      </c>
      <c r="E20" s="36" t="inlineStr">
        <is>
          <t>가능 여부</t>
        </is>
      </c>
      <c r="F20" s="36" t="inlineStr">
        <is>
          <t>사유</t>
        </is>
      </c>
      <c r="G20" s="36" t="inlineStr">
        <is>
          <t>우선순위</t>
        </is>
      </c>
      <c r="H20" s="36" t="inlineStr">
        <is>
          <t>기한</t>
        </is>
      </c>
      <c r="I20" s="37" t="inlineStr">
        <is>
          <t>TC 수</t>
        </is>
      </c>
    </row>
    <row r="21" ht="27" customHeight="1" s="29">
      <c r="A21" s="38" t="n">
        <v>1</v>
      </c>
      <c r="B21" s="35" t="inlineStr">
        <is>
          <t>신규 콘텐츠</t>
        </is>
      </c>
      <c r="C21" s="35" t="inlineStr">
        <is>
          <t>차원 대충돌 2.0 BETA [광기] 시즌</t>
        </is>
      </c>
      <c r="D21" s="35" t="inlineStr">
        <is>
          <t>기간, 두 차원 구조, 차원 간 사도 중복 사용 불가, 기록 초기화</t>
        </is>
      </c>
      <c r="E21" s="47" t="inlineStr">
        <is>
          <t>가능</t>
        </is>
      </c>
      <c r="F21" s="35" t="n"/>
      <c r="G21" s="47" t="inlineStr">
        <is>
          <t>중</t>
        </is>
      </c>
      <c r="H21" s="38" t="inlineStr">
        <is>
          <t>10/22 10:59</t>
        </is>
      </c>
      <c r="I21" s="38">
        <f>COUNTIF(TC!$B$4:$B$123,A21)</f>
        <v/>
      </c>
    </row>
    <row r="22" ht="27" customHeight="1" s="29">
      <c r="A22" s="38" t="n">
        <v>2</v>
      </c>
      <c r="B22" s="35" t="inlineStr">
        <is>
          <t>신규 콘텐츠</t>
        </is>
      </c>
      <c r="C22" s="35" t="inlineStr">
        <is>
          <t>림의 이면세계</t>
        </is>
      </c>
      <c r="D22" s="35" t="inlineStr">
        <is>
          <t>아티팩트 카드 구매 횟수 제한, 스테이지 구간 선택, 코인·이면의 파편 획득</t>
        </is>
      </c>
      <c r="E22" s="47" t="inlineStr">
        <is>
          <t>가능</t>
        </is>
      </c>
      <c r="F22" s="35" t="n"/>
      <c r="G22" s="47" t="inlineStr">
        <is>
          <t>중</t>
        </is>
      </c>
      <c r="H22" s="38" t="inlineStr">
        <is>
          <t>10/22 10:59</t>
        </is>
      </c>
      <c r="I22" s="38">
        <f>COUNTIF(TC!$B$4:$B$123,A22)</f>
        <v/>
      </c>
    </row>
    <row r="23" ht="39.75" customHeight="1" s="29">
      <c r="A23" s="38" t="n">
        <v>3</v>
      </c>
      <c r="B23" s="35" t="inlineStr">
        <is>
          <t>신규 콘텐츠</t>
        </is>
      </c>
      <c r="C23" s="35" t="inlineStr">
        <is>
          <t>셰이디의 차원</t>
        </is>
      </c>
      <c r="D23" s="35" t="inlineStr">
        <is>
          <t>모든 카드 구매 가능, 미보유 카드 1레벨 사용, 보스 순서 클리어, 특수 디버프 조건 충족 시 이점</t>
        </is>
      </c>
      <c r="E23" s="47" t="inlineStr">
        <is>
          <t>가능</t>
        </is>
      </c>
      <c r="F23" s="35" t="n"/>
      <c r="G23" s="47" t="inlineStr">
        <is>
          <t>중</t>
        </is>
      </c>
      <c r="H23" s="38" t="inlineStr">
        <is>
          <t>10/22 10:59</t>
        </is>
      </c>
      <c r="I23" s="38">
        <f>COUNTIF(TC!$B$4:$B$123,A23)</f>
        <v/>
      </c>
    </row>
    <row r="24" ht="26.25" customHeight="1" s="29">
      <c r="A24" s="38" t="n">
        <v>4</v>
      </c>
      <c r="B24" s="35" t="inlineStr">
        <is>
          <t>신규 콘텐츠</t>
        </is>
      </c>
      <c r="C24" s="35" t="inlineStr">
        <is>
          <t>이면의 파편</t>
        </is>
      </c>
      <c r="D24" s="35" t="inlineStr">
        <is>
          <t>레벨업에 따른 버프 강화, 로비에서 초기화·재설정</t>
        </is>
      </c>
      <c r="E24" s="47" t="inlineStr">
        <is>
          <t>가능</t>
        </is>
      </c>
      <c r="F24" s="35" t="n"/>
      <c r="G24" s="47" t="inlineStr">
        <is>
          <t>중</t>
        </is>
      </c>
      <c r="H24" s="38" t="inlineStr">
        <is>
          <t>10/22 10:59</t>
        </is>
      </c>
      <c r="I24" s="38">
        <f>COUNTIF(TC!$B$4:$B$123,A24)</f>
        <v/>
      </c>
    </row>
    <row r="25" ht="27" customHeight="1" s="29">
      <c r="A25" s="38" t="n">
        <v>5</v>
      </c>
      <c r="B25" s="35" t="inlineStr">
        <is>
          <t>신규 콘텐츠</t>
        </is>
      </c>
      <c r="C25" s="35" t="inlineStr">
        <is>
          <t>그룹 규칙</t>
        </is>
      </c>
      <c r="D25" s="35" t="inlineStr">
        <is>
          <t>숙련 교주 그룹으로 표시되는지</t>
        </is>
      </c>
      <c r="E25" s="47" t="inlineStr">
        <is>
          <t>일부 가능</t>
        </is>
      </c>
      <c r="F25" s="35" t="inlineStr">
        <is>
          <t>계정이 181일 이상이라 숙련 그룹만 확인 가능. 새싹 그룹(180일 이하)은 N/A</t>
        </is>
      </c>
      <c r="G25" s="47" t="inlineStr">
        <is>
          <t>중</t>
        </is>
      </c>
      <c r="H25" s="38" t="inlineStr">
        <is>
          <t>10/22 10:59</t>
        </is>
      </c>
      <c r="I25" s="38">
        <f>COUNTIF(TC!$B$4:$B$123,A25)</f>
        <v/>
      </c>
    </row>
    <row r="26" ht="26.25" customHeight="1" s="29">
      <c r="A26" s="38" t="n">
        <v>6</v>
      </c>
      <c r="B26" s="35" t="inlineStr">
        <is>
          <t>밸런스</t>
        </is>
      </c>
      <c r="C26" s="35" t="inlineStr">
        <is>
          <t>냉정 사도가 받는 피해량 20% 감소</t>
        </is>
      </c>
      <c r="D26" s="35" t="inlineStr">
        <is>
          <t>공통 규칙 문구가 공지와 같게 표시되는지</t>
        </is>
      </c>
      <c r="E26" s="47" t="inlineStr">
        <is>
          <t>일부 가능</t>
        </is>
      </c>
      <c r="F26" s="35" t="inlineStr">
        <is>
          <t>규칙 문구 표시만 확인 가능. 실제 피해 감소 수치는 패치 전 수치를 측정할 수 없고 피해 공식이 공개되지 않아 검증 불가</t>
        </is>
      </c>
      <c r="G26" s="47" t="inlineStr">
        <is>
          <t>중</t>
        </is>
      </c>
      <c r="H26" s="38" t="inlineStr">
        <is>
          <t>10/22 10:59</t>
        </is>
      </c>
      <c r="I26" s="38">
        <f>COUNTIF(TC!$B$4:$B$123,A26)</f>
        <v/>
      </c>
    </row>
    <row r="27" ht="26.25" customHeight="1" s="29">
      <c r="A27" s="38" t="n">
        <v>7</v>
      </c>
      <c r="B27" s="35" t="inlineStr">
        <is>
          <t>신규 콘텐츠</t>
        </is>
      </c>
      <c r="C27" s="35" t="inlineStr">
        <is>
          <t>메인 스토리 시즌3 8챕터 1~7화</t>
        </is>
      </c>
      <c r="D27" s="35" t="inlineStr">
        <is>
          <t>해금 조건(28월드 2·5스테이지)을 이미 넘긴 계정에서 업데이트 직후 바로 열리는지</t>
        </is>
      </c>
      <c r="E27" s="47" t="inlineStr">
        <is>
          <t>가능</t>
        </is>
      </c>
      <c r="F27" s="35" t="inlineStr">
        <is>
          <t>진행도가 39-10이라 '클리어 전 잠김'은 확인 불가</t>
        </is>
      </c>
      <c r="G27" s="47" t="inlineStr">
        <is>
          <t>하</t>
        </is>
      </c>
      <c r="H27" s="38" t="n"/>
      <c r="I27" s="38">
        <f>COUNTIF(TC!$B$4:$B$123,A27)</f>
        <v/>
      </c>
    </row>
    <row r="28" ht="15" customHeight="1" s="29">
      <c r="A28" s="38" t="n">
        <v>8</v>
      </c>
      <c r="B28" s="35" t="inlineStr">
        <is>
          <t>신규 콘텐츠</t>
        </is>
      </c>
      <c r="C28" s="35" t="inlineStr">
        <is>
          <t>테마 [사복] 미니 스토리</t>
        </is>
      </c>
      <c r="D28" s="35" t="inlineStr">
        <is>
          <t>추가 여부, 열람</t>
        </is>
      </c>
      <c r="E28" s="47" t="inlineStr">
        <is>
          <t>가능</t>
        </is>
      </c>
      <c r="F28" s="35" t="n"/>
      <c r="G28" s="47" t="inlineStr">
        <is>
          <t>하</t>
        </is>
      </c>
      <c r="H28" s="38" t="n"/>
      <c r="I28" s="38">
        <f>COUNTIF(TC!$B$4:$B$123,A28)</f>
        <v/>
      </c>
    </row>
    <row r="29" ht="15" customHeight="1" s="29">
      <c r="A29" s="38" t="n">
        <v>9</v>
      </c>
      <c r="B29" s="35" t="inlineStr">
        <is>
          <t>신규 콘텐츠</t>
        </is>
      </c>
      <c r="C29" s="35" t="inlineStr">
        <is>
          <t>기록소 &gt; 도감 &gt; 기억 조각</t>
        </is>
      </c>
      <c r="D29" s="35" t="inlineStr">
        <is>
          <t>시즌3 8챕터 1~7화 추가 여부</t>
        </is>
      </c>
      <c r="E29" s="47" t="inlineStr">
        <is>
          <t>가능</t>
        </is>
      </c>
      <c r="F29" s="35" t="n"/>
      <c r="G29" s="47" t="inlineStr">
        <is>
          <t>하</t>
        </is>
      </c>
      <c r="H29" s="38" t="n"/>
      <c r="I29" s="38">
        <f>COUNTIF(TC!$B$4:$B$123,A29)</f>
        <v/>
      </c>
    </row>
    <row r="30" ht="27" customHeight="1" s="29">
      <c r="A30" s="38" t="n">
        <v>10</v>
      </c>
      <c r="B30" s="35" t="inlineStr">
        <is>
          <t>개선</t>
        </is>
      </c>
      <c r="C30" s="35" t="inlineStr">
        <is>
          <t>테마극장 &lt;마음의 들판에 두고 온 기억&gt;</t>
        </is>
      </c>
      <c r="D30" s="35" t="inlineStr">
        <is>
          <t>이벤트 스테이지 클리어 없이 스토리 열람 가능한지</t>
        </is>
      </c>
      <c r="E30" s="47" t="inlineStr">
        <is>
          <t>가능</t>
        </is>
      </c>
      <c r="F30" s="35" t="n"/>
      <c r="G30" s="47" t="inlineStr">
        <is>
          <t>하</t>
        </is>
      </c>
      <c r="H30" s="38" t="n"/>
      <c r="I30" s="38">
        <f>COUNTIF(TC!$B$4:$B$123,A30)</f>
        <v/>
      </c>
    </row>
    <row r="31" ht="25.5" customHeight="1" s="29">
      <c r="A31" s="38" t="n">
        <v>11</v>
      </c>
      <c r="B31" s="35" t="inlineStr">
        <is>
          <t>개선</t>
        </is>
      </c>
      <c r="C31" s="35" t="inlineStr">
        <is>
          <t>보드 만개 연출 자동 스킵</t>
        </is>
      </c>
      <c r="D31" s="32" t="inlineStr">
        <is>
          <t>-</t>
        </is>
      </c>
      <c r="E31" s="48" t="inlineStr">
        <is>
          <t>N/A</t>
        </is>
      </c>
      <c r="F31" s="35" t="inlineStr">
        <is>
          <t>현재 계정 진행도로는 보드 만개를 진행할 수 없음</t>
        </is>
      </c>
      <c r="G31" s="48" t="inlineStr">
        <is>
          <t>-</t>
        </is>
      </c>
      <c r="H31" s="38" t="n"/>
      <c r="I31" s="38">
        <f>COUNTIF(TC!$B$4:$B$123,A31)</f>
        <v/>
      </c>
    </row>
    <row r="32" ht="15" customHeight="1" s="29">
      <c r="A32" s="38" t="n">
        <v>12</v>
      </c>
      <c r="B32" s="35" t="inlineStr">
        <is>
          <t>개선</t>
        </is>
      </c>
      <c r="C32" s="35" t="inlineStr">
        <is>
          <t>보드 가이드 BETA 필터·정렬</t>
        </is>
      </c>
      <c r="D32" s="35" t="inlineStr">
        <is>
          <t>관문별 필터, 정렬 동작</t>
        </is>
      </c>
      <c r="E32" s="47" t="inlineStr">
        <is>
          <t>가능</t>
        </is>
      </c>
      <c r="F32" s="32" t="n"/>
      <c r="G32" s="47" t="inlineStr">
        <is>
          <t>하</t>
        </is>
      </c>
      <c r="H32" s="38" t="n"/>
      <c r="I32" s="38">
        <f>COUNTIF(TC!$B$4:$B$123,A32)</f>
        <v/>
      </c>
    </row>
    <row r="33" ht="15" customHeight="1" s="29">
      <c r="A33" s="38" t="n">
        <v>13</v>
      </c>
      <c r="B33" s="35" t="inlineStr">
        <is>
          <t>개선</t>
        </is>
      </c>
      <c r="C33" s="35" t="inlineStr">
        <is>
          <t>게임 내 로딩 속도</t>
        </is>
      </c>
      <c r="D33" s="32" t="inlineStr">
        <is>
          <t>-</t>
        </is>
      </c>
      <c r="E33" s="48" t="inlineStr">
        <is>
          <t>N/A</t>
        </is>
      </c>
      <c r="F33" s="35" t="inlineStr">
        <is>
          <t>이전 버전으로 되돌려 비교할 수 없음</t>
        </is>
      </c>
      <c r="G33" s="48" t="inlineStr">
        <is>
          <t>-</t>
        </is>
      </c>
      <c r="H33" s="38" t="n"/>
      <c r="I33" s="38">
        <f>COUNTIF(TC!$B$4:$B$123,A33)</f>
        <v/>
      </c>
    </row>
    <row r="34" ht="26.25" customHeight="1" s="29">
      <c r="A34" s="38" t="n">
        <v>14</v>
      </c>
      <c r="B34" s="35" t="inlineStr">
        <is>
          <t>이벤트·상점</t>
        </is>
      </c>
      <c r="C34" s="32" t="inlineStr">
        <is>
          <t>[테마 사복] 5종 할인 &amp; 특별 픽업 사도 모집</t>
        </is>
      </c>
      <c r="D34" s="35" t="inlineStr">
        <is>
          <t>화면 표시(할인율, 기간, 픽업 대상)</t>
        </is>
      </c>
      <c r="E34" s="47" t="inlineStr">
        <is>
          <t>일부 가능</t>
        </is>
      </c>
      <c r="F34" s="35" t="inlineStr">
        <is>
          <t>결제하지 않음. 화면 표시만 확인</t>
        </is>
      </c>
      <c r="G34" s="47" t="inlineStr">
        <is>
          <t>중</t>
        </is>
      </c>
      <c r="H34" s="38" t="inlineStr">
        <is>
          <t>10/22 10:59</t>
        </is>
      </c>
      <c r="I34" s="38">
        <f>COUNTIF(TC!$B$4:$B$123,A34)</f>
        <v/>
      </c>
    </row>
    <row r="35" ht="15" customHeight="1" s="29">
      <c r="A35" s="38" t="n">
        <v>15</v>
      </c>
      <c r="B35" s="35" t="inlineStr">
        <is>
          <t>이벤트·상점</t>
        </is>
      </c>
      <c r="C35" s="35" t="inlineStr">
        <is>
          <t>캐시 상점 신규 패키지</t>
        </is>
      </c>
      <c r="D35" s="35" t="inlineStr">
        <is>
          <t>판매 여부, 표시 가격, 판매 기간</t>
        </is>
      </c>
      <c r="E35" s="47" t="inlineStr">
        <is>
          <t>일부 가능</t>
        </is>
      </c>
      <c r="F35" s="35" t="inlineStr">
        <is>
          <t>결제하지 않음. 화면 표시만 확인</t>
        </is>
      </c>
      <c r="G35" s="47" t="inlineStr">
        <is>
          <t>중</t>
        </is>
      </c>
      <c r="H35" s="38" t="inlineStr">
        <is>
          <t>10/22 10:59</t>
        </is>
      </c>
      <c r="I35" s="38">
        <f>COUNTIF(TC!$B$4:$B$123,A35)</f>
        <v/>
      </c>
    </row>
    <row r="36" ht="27" customHeight="1" s="29">
      <c r="A36" s="38" t="n">
        <v>16</v>
      </c>
      <c r="B36" s="35" t="inlineStr">
        <is>
          <t>이벤트·상점</t>
        </is>
      </c>
      <c r="C36" s="32" t="inlineStr">
        <is>
          <t>[테마 사복] 5종 세트 40% 할인</t>
        </is>
      </c>
      <c r="D36" s="35" t="inlineStr">
        <is>
          <t>할인율 40% 표시, 기간, 종료 후(10/22 11:00 이후) 정가로 부띠끄 샵 입점</t>
        </is>
      </c>
      <c r="E36" s="47" t="inlineStr">
        <is>
          <t>일부 가능</t>
        </is>
      </c>
      <c r="F36" s="35" t="inlineStr">
        <is>
          <t>결제하지 않음. 화면 표시만 확인</t>
        </is>
      </c>
      <c r="G36" s="47" t="inlineStr">
        <is>
          <t>중</t>
        </is>
      </c>
      <c r="H36" s="38" t="inlineStr">
        <is>
          <t>10/22 10:59</t>
        </is>
      </c>
      <c r="I36" s="38">
        <f>COUNTIF(TC!$B$4:$B$123,A36)</f>
        <v/>
      </c>
    </row>
    <row r="37" ht="26.25" customHeight="1" s="29">
      <c r="A37" s="38" t="n">
        <v>17</v>
      </c>
      <c r="B37" s="35" t="inlineStr">
        <is>
          <t>이벤트·상점</t>
        </is>
      </c>
      <c r="C37" s="32" t="inlineStr">
        <is>
          <t>[그치지 않는 백귀야행 로비] 패키지</t>
        </is>
      </c>
      <c r="D37" s="35" t="inlineStr">
        <is>
          <t>판매 여부, 표시 가격, 판매 기간</t>
        </is>
      </c>
      <c r="E37" s="47" t="inlineStr">
        <is>
          <t>일부 가능</t>
        </is>
      </c>
      <c r="F37" s="35" t="inlineStr">
        <is>
          <t>결제하지 않음. 화면 표시만 확인</t>
        </is>
      </c>
      <c r="G37" s="47" t="inlineStr">
        <is>
          <t>중</t>
        </is>
      </c>
      <c r="H37" s="38" t="inlineStr">
        <is>
          <t>10/22 10:59</t>
        </is>
      </c>
      <c r="I37" s="38">
        <f>COUNTIF(TC!$B$4:$B$123,A37)</f>
        <v/>
      </c>
    </row>
    <row r="38" ht="26.25" customHeight="1" s="29">
      <c r="A38" s="38" t="n">
        <v>18</v>
      </c>
      <c r="B38" s="35" t="inlineStr">
        <is>
          <t>오류 수정</t>
        </is>
      </c>
      <c r="C38" s="35" t="inlineStr">
        <is>
          <t>데이트 연출·텍스트 어색하게 출력</t>
        </is>
      </c>
      <c r="D38" s="35" t="inlineStr">
        <is>
          <t>수정 확인 + 주변 회귀</t>
        </is>
      </c>
      <c r="E38" s="47" t="inlineStr">
        <is>
          <t>가능</t>
        </is>
      </c>
      <c r="F38" s="35" t="inlineStr">
        <is>
          <t>공지에 대상 데이트·조건이 없어 대표 케이스로 확인</t>
        </is>
      </c>
      <c r="G38" s="47" t="inlineStr">
        <is>
          <t>상</t>
        </is>
      </c>
      <c r="H38" s="38" t="n"/>
      <c r="I38" s="38">
        <f>COUNTIF(TC!$B$4:$B$123,A38)</f>
        <v/>
      </c>
    </row>
    <row r="39" ht="26.25" customHeight="1" s="29">
      <c r="A39" s="38" t="n">
        <v>19</v>
      </c>
      <c r="B39" s="35" t="inlineStr">
        <is>
          <t>오류 수정</t>
        </is>
      </c>
      <c r="C39" s="32" t="inlineStr">
        <is>
          <t>[저편의 경계에서] 로비 애니메이션 일부 어색</t>
        </is>
      </c>
      <c r="D39" s="35" t="inlineStr">
        <is>
          <t>수정 확인 + 주변 회귀</t>
        </is>
      </c>
      <c r="E39" s="47" t="inlineStr">
        <is>
          <t>N/A</t>
        </is>
      </c>
      <c r="F39" s="32" t="inlineStr">
        <is>
          <t>[저편의 경계에서] 로비를 보유하지 않은 계정이라 확인 불가</t>
        </is>
      </c>
      <c r="G39" s="47" t="inlineStr">
        <is>
          <t>-</t>
        </is>
      </c>
      <c r="H39" s="38" t="n"/>
      <c r="I39" s="38">
        <f>COUNTIF(TC!$B$4:$B$123,A39)</f>
        <v/>
      </c>
    </row>
    <row r="40" ht="25.5" customHeight="1" s="29">
      <c r="A40" s="38" t="n">
        <v>20</v>
      </c>
      <c r="B40" s="35" t="inlineStr">
        <is>
          <t>오류 수정</t>
        </is>
      </c>
      <c r="C40" s="35" t="inlineStr">
        <is>
          <t>우로스 전환 설정 후 만찬장 초대 시 대사 어색</t>
        </is>
      </c>
      <c r="D40" s="35" t="inlineStr">
        <is>
          <t>수정 확인 + 주변 회귀</t>
        </is>
      </c>
      <c r="E40" s="47" t="inlineStr">
        <is>
          <t>가능</t>
        </is>
      </c>
      <c r="F40" s="32" t="n"/>
      <c r="G40" s="47" t="inlineStr">
        <is>
          <t>상</t>
        </is>
      </c>
      <c r="H40" s="38" t="n"/>
      <c r="I40" s="38">
        <f>COUNTIF(TC!$B$4:$B$123,A40)</f>
        <v/>
      </c>
    </row>
    <row r="41" ht="26.25" customHeight="1" s="29">
      <c r="A41" s="38" t="n">
        <v>21</v>
      </c>
      <c r="B41" s="35" t="inlineStr">
        <is>
          <t>오류 수정</t>
        </is>
      </c>
      <c r="C41" s="35" t="inlineStr">
        <is>
          <t>특정 상황에서 보드 가이드 UI 비정상 노출</t>
        </is>
      </c>
      <c r="D41" s="35" t="inlineStr">
        <is>
          <t>수정 확인 + 주변 회귀</t>
        </is>
      </c>
      <c r="E41" s="47" t="inlineStr">
        <is>
          <t>가능</t>
        </is>
      </c>
      <c r="F41" s="35" t="inlineStr">
        <is>
          <t>공지에 '특정 상황'이 무엇인지 없음</t>
        </is>
      </c>
      <c r="G41" s="47" t="inlineStr">
        <is>
          <t>상</t>
        </is>
      </c>
      <c r="H41" s="38" t="n"/>
      <c r="I41" s="38">
        <f>COUNTIF(TC!$B$4:$B$123,A41)</f>
        <v/>
      </c>
    </row>
    <row r="42" ht="27" customHeight="1" s="29">
      <c r="A42" s="38" t="n">
        <v>22</v>
      </c>
      <c r="B42" s="35" t="inlineStr">
        <is>
          <t>오류 수정</t>
        </is>
      </c>
      <c r="C42" s="35" t="inlineStr">
        <is>
          <t>기기 OS가 다를 때 연동 로그인 간헐적 실패</t>
        </is>
      </c>
      <c r="D42" s="32" t="inlineStr">
        <is>
          <t>iPhone(iOS) ↔ MuMu(Android) 같은 계정 로그인</t>
        </is>
      </c>
      <c r="E42" s="47" t="inlineStr">
        <is>
          <t>미정</t>
        </is>
      </c>
      <c r="F42" s="32" t="inlineStr">
        <is>
          <t>Apple 연동 계정. MuMu 접속 방법이 공식 기능이면 가능, 우회 방법이면 N/A</t>
        </is>
      </c>
      <c r="G42" s="48" t="n"/>
      <c r="H42" s="38" t="n"/>
      <c r="I42" s="38">
        <f>COUNTIF(TC!$B$4:$B$123,A42)</f>
        <v/>
      </c>
    </row>
    <row r="43" ht="25.5" customHeight="1" s="29">
      <c r="A43" s="38" t="inlineStr">
        <is>
          <t>23-1</t>
        </is>
      </c>
      <c r="B43" s="35" t="inlineStr">
        <is>
          <t>오류 수정</t>
        </is>
      </c>
      <c r="C43" s="35" t="inlineStr">
        <is>
          <t>장비 제작 네비게이션 신규 월드 첫 진입 해금 연출</t>
        </is>
      </c>
      <c r="D43" s="32" t="inlineStr">
        <is>
          <t>-</t>
        </is>
      </c>
      <c r="E43" s="48" t="inlineStr">
        <is>
          <t>N/A</t>
        </is>
      </c>
      <c r="F43" s="35" t="inlineStr">
        <is>
          <t>진행도상 신규 월드 첫 진입 상황을 다시 만들 수 없음</t>
        </is>
      </c>
      <c r="G43" s="48" t="inlineStr">
        <is>
          <t>-</t>
        </is>
      </c>
      <c r="H43" s="38" t="n"/>
      <c r="I43" s="38">
        <f>COUNTIF(TC!$B$4:$B$123,A43)</f>
        <v/>
      </c>
    </row>
    <row r="44" ht="27" customHeight="1" s="29">
      <c r="A44" s="38" t="inlineStr">
        <is>
          <t>23-2</t>
        </is>
      </c>
      <c r="B44" s="35" t="inlineStr">
        <is>
          <t>오류 수정</t>
        </is>
      </c>
      <c r="C44" s="35" t="inlineStr">
        <is>
          <t>누락된 해금 보상 우편 일괄 지급</t>
        </is>
      </c>
      <c r="D44" s="35" t="inlineStr">
        <is>
          <t>우편함에 보상이 왔는지</t>
        </is>
      </c>
      <c r="E44" s="47" t="inlineStr">
        <is>
          <t>가능</t>
        </is>
      </c>
      <c r="F44" s="35" t="inlineStr">
        <is>
          <t>지급 대상 범위가 공지에 없어, 우편이 없으면 Fail이 아니라 '대상 여부 불명'으로 기록</t>
        </is>
      </c>
      <c r="G44" s="47" t="inlineStr">
        <is>
          <t>상</t>
        </is>
      </c>
      <c r="H44" s="38" t="n"/>
      <c r="I44" s="38">
        <f>COUNTIF(TC!$B$4:$B$123,A44)</f>
        <v/>
      </c>
    </row>
    <row r="46" ht="15" customHeight="1" s="29">
      <c r="A46" s="49" t="inlineStr">
        <is>
          <t>범례: 노란 칸(가능 여부, 우선순위, MuMu Android 버전)은 판단이 바뀌면 직접 고치는 칸입니다. TC 수는 TC 시트의 '관련 항목' 번호로 자동 집계됩니다.</t>
        </is>
      </c>
    </row>
  </sheetData>
  <mergeCells count="14">
    <mergeCell ref="B9:I9"/>
    <mergeCell ref="B15:I15"/>
    <mergeCell ref="B7:I7"/>
    <mergeCell ref="B11:I11"/>
    <mergeCell ref="B6:I6"/>
    <mergeCell ref="B16:I16"/>
    <mergeCell ref="B10:I10"/>
    <mergeCell ref="A1:I1"/>
    <mergeCell ref="B3:I3"/>
    <mergeCell ref="B5:I5"/>
    <mergeCell ref="B14:I14"/>
    <mergeCell ref="B8:I8"/>
    <mergeCell ref="B4:I4"/>
    <mergeCell ref="B17:I17"/>
  </mergeCells>
  <dataValidations count="2">
    <dataValidation sqref="E21:E44" showDropDown="0" showInputMessage="0" showErrorMessage="0" allowBlank="1" type="list" errorStyle="stop" operator="between">
      <formula1>"가능,일부 가능,N/A,미정"</formula1>
      <formula2>0</formula2>
    </dataValidation>
    <dataValidation sqref="G21:G44" showDropDown="0" showInputMessage="0" showErrorMessage="0" allowBlank="1" type="list" errorStyle="stop" operator="between">
      <formula1>"상,중,하,-"</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L123"/>
  <sheetViews>
    <sheetView showFormulas="0" showGridLines="1" showRowColHeaders="1" showZeros="1" rightToLeft="0" tabSelected="0" showOutlineSymbols="1" defaultGridColor="1" view="normal" topLeftCell="E1" colorId="64" zoomScale="85" zoomScaleNormal="85" zoomScalePageLayoutView="100" workbookViewId="0">
      <pane xSplit="0" ySplit="3" topLeftCell="A12" activePane="bottomLeft" state="frozen"/>
      <selection pane="topLeft" activeCell="E1" activeCellId="0" sqref="E1"/>
      <selection pane="bottomLeft" activeCell="I16" activeCellId="0" sqref="I16"/>
    </sheetView>
  </sheetViews>
  <sheetFormatPr baseColWidth="8" defaultColWidth="8.71484375" defaultRowHeight="15" zeroHeight="0" outlineLevelRow="0"/>
  <cols>
    <col width="6" customWidth="1" style="28" min="1" max="1"/>
    <col width="9" customWidth="1" style="28" min="2" max="2"/>
    <col width="11" customWidth="1" style="28" min="3" max="3"/>
    <col width="17.42" customWidth="1" style="28" min="4" max="4"/>
    <col width="33.29" customWidth="1" style="28" min="5" max="5"/>
    <col width="47.86" customWidth="1" style="28" min="6" max="6"/>
    <col width="61.42" customWidth="1" style="28" min="7" max="7"/>
    <col width="49.29" customWidth="1" style="28" min="8" max="8"/>
    <col width="9" customWidth="1" style="28" min="9" max="10"/>
    <col width="12" customWidth="1" style="28" min="11" max="11"/>
    <col width="34" customWidth="1" style="28" min="12" max="12"/>
  </cols>
  <sheetData>
    <row r="1" ht="30" customHeight="1" s="29">
      <c r="A1" s="43" t="inlineStr">
        <is>
          <t>트릭컬 리바이브 — 10/15 업데이트 검증 테스트 케이스</t>
        </is>
      </c>
    </row>
    <row r="2" ht="31.5" customHeight="1" s="29">
      <c r="A2" s="42" t="inlineStr">
        <is>
          <t>관련 항목 = '테스트 계획' 시트의 No. 기대결과는 공지 문구를 눈으로 판정할 수 있는 말로 바꿔 작성 (예: '어색함' → '끊김·겹침·깜빡임·잘림 없음'). 공지에 조건이 없으면 비고에 가정을 적습니다. 1번 행은 작성 예시이며 그대로 실행해도 됩니다.</t>
        </is>
      </c>
    </row>
    <row r="3" ht="15" customHeight="1" s="29">
      <c r="A3" s="37" t="inlineStr">
        <is>
          <t>No</t>
        </is>
      </c>
      <c r="B3" s="36" t="inlineStr">
        <is>
          <t>관련 항목</t>
        </is>
      </c>
      <c r="C3" s="36" t="inlineStr">
        <is>
          <t>대분류</t>
        </is>
      </c>
      <c r="D3" s="36" t="inlineStr">
        <is>
          <t>중분류</t>
        </is>
      </c>
      <c r="E3" s="36" t="inlineStr">
        <is>
          <t>소분류</t>
        </is>
      </c>
      <c r="F3" s="36" t="inlineStr">
        <is>
          <t>사전조건</t>
        </is>
      </c>
      <c r="G3" s="36" t="inlineStr">
        <is>
          <t>테스트 스텝</t>
        </is>
      </c>
      <c r="H3" s="36" t="inlineStr">
        <is>
          <t>기대결과</t>
        </is>
      </c>
      <c r="I3" s="37" t="inlineStr">
        <is>
          <t>1차 결과</t>
        </is>
      </c>
      <c r="J3" s="37" t="inlineStr">
        <is>
          <t>2차 결과</t>
        </is>
      </c>
      <c r="K3" s="37" t="inlineStr">
        <is>
          <t>BTS</t>
        </is>
      </c>
      <c r="L3" s="36" t="inlineStr">
        <is>
          <t>비고</t>
        </is>
      </c>
    </row>
    <row r="4" ht="61.5" customHeight="1" s="29">
      <c r="A4" s="50" t="n">
        <v>1</v>
      </c>
      <c r="B4" s="50" t="n">
        <v>19</v>
      </c>
      <c r="C4" s="51" t="inlineStr">
        <is>
          <t>오류 수정</t>
        </is>
      </c>
      <c r="D4" s="51" t="inlineStr">
        <is>
          <t>로비</t>
        </is>
      </c>
      <c r="E4" s="52" t="inlineStr">
        <is>
          <t>[저편의 경계에서] 애니메이션</t>
        </is>
      </c>
      <c r="F4" s="52" t="inlineStr">
        <is>
          <t>1. [저편의 경계에서] 로비를 보유하고 로비로 설정한 상태</t>
        </is>
      </c>
      <c r="G4" s="52" t="inlineStr">
        <is>
          <t>1. 로비 화면에 진입한다
2. 애니메이션이 한 바퀴 이상 반복될 때까지 지켜본다</t>
        </is>
      </c>
      <c r="H4" s="51" t="inlineStr">
        <is>
          <t>애니메이션이 끊김, 겹침, 깜빡임, 잘림 없이 반복 재생됨</t>
        </is>
      </c>
      <c r="I4" s="50" t="inlineStr">
        <is>
          <t>N/A</t>
        </is>
      </c>
      <c r="J4" s="50" t="n"/>
      <c r="K4" s="50" t="n"/>
      <c r="L4" s="51" t="inlineStr">
        <is>
          <t>[저편의 경계에서] 로비를 보유하지 않은 계정이라 확인 불가 (구매하지 않음)</t>
        </is>
      </c>
    </row>
    <row r="5" ht="94.5" customHeight="1" s="29">
      <c r="A5" s="50" t="n">
        <v>2</v>
      </c>
      <c r="B5" s="50" t="n">
        <v>18</v>
      </c>
      <c r="C5" s="51" t="inlineStr">
        <is>
          <t>오류 수정</t>
        </is>
      </c>
      <c r="D5" s="51" t="inlineStr">
        <is>
          <t>데이트</t>
        </is>
      </c>
      <c r="E5" s="51" t="inlineStr">
        <is>
          <t>텍스트</t>
        </is>
      </c>
      <c r="F5" s="52" t="inlineStr">
        <is>
          <t>1. 데이트를 진행할 사도를 보유한 상태 (사도: 에르핀(왕도))</t>
        </is>
      </c>
      <c r="G5" s="52" t="inlineStr">
        <is>
          <t>1. 빵주 화면에 진입한다.
2. 라운지 버튼을 눌러 라운지 화면에 진입한다.
3. 연락하기 버튼으로 사도를 선택해 데이트를 시작한다.
4. 데이트를 마지막 대사까지 스킵 없이 진행한다.</t>
        </is>
      </c>
      <c r="H5" s="53" t="inlineStr">
        <is>
          <t>모든 대사에서 아래 현상이 없음 
1. 글자 깨짐 
2. 말풍선 밖으로 넘침 
3. 문장 잘림 
4. 코드 문자({이름} 등) 노출 
5. 사도 이름과 대사 불일치</t>
        </is>
      </c>
      <c r="I5" s="50" t="inlineStr">
        <is>
          <t>Pass</t>
        </is>
      </c>
      <c r="J5" s="50" t="n"/>
      <c r="K5" s="50" t="n"/>
      <c r="L5" s="51" t="inlineStr">
        <is>
          <t>공지에 수정 전 현상이 없어 정상 출력 기준으로 확인
대표 케이스 사도: 에르핀(왕도)</t>
        </is>
      </c>
    </row>
    <row r="6" ht="94.5" customHeight="1" s="29">
      <c r="A6" s="50" t="n">
        <v>3</v>
      </c>
      <c r="B6" s="50" t="n">
        <v>18</v>
      </c>
      <c r="C6" s="51" t="inlineStr">
        <is>
          <t>오류 수정</t>
        </is>
      </c>
      <c r="D6" s="51" t="inlineStr">
        <is>
          <t>데이트</t>
        </is>
      </c>
      <c r="E6" s="51" t="inlineStr">
        <is>
          <t>연출</t>
        </is>
      </c>
      <c r="F6" s="52" t="inlineStr">
        <is>
          <t>1. 데이트를 진행할 사도를 보유한 상태 (사도: 에르핀(왕도))</t>
        </is>
      </c>
      <c r="G6" s="52" t="inlineStr">
        <is>
          <t>1. 빵주 화면에 진입한다.
2. 라운지 버튼을 눌러 라운지 화면에 진입한다.
3. 연락하기 버튼으로 사도를 선택해 데이트를 시작한다.
4. 데이트를 마지막 대사까지 스킵 없이 진행한다.</t>
        </is>
      </c>
      <c r="H6" s="51" t="inlineStr">
        <is>
          <t>모든 연출에서 아래 현상이 없음
1. 대사가 표시될 때 해당 연출이 시작되고, 다음 대사로 넘어간 뒤에 시작되거나 남아 있지 않음
2. 연출이 화면 밖으로 잘리지 않음
3. 연출 중 사도나 배경이 깜빡이거나, 사라지거나, 겹치지 않음</t>
        </is>
      </c>
      <c r="I6" s="50" t="inlineStr">
        <is>
          <t>Pass</t>
        </is>
      </c>
      <c r="J6" s="50" t="n"/>
      <c r="K6" s="50" t="n"/>
      <c r="L6" s="51" t="inlineStr">
        <is>
          <t>공지에 수정 전 현상이 없어 정상 출력 기준으로 확인
대표 케이스 사도: 에르핀(왕도)</t>
        </is>
      </c>
    </row>
    <row r="7" ht="121.5" customHeight="1" s="29">
      <c r="A7" s="50" t="n">
        <v>4</v>
      </c>
      <c r="B7" s="50" t="n">
        <v>20</v>
      </c>
      <c r="C7" s="51" t="inlineStr">
        <is>
          <t>오류 수정</t>
        </is>
      </c>
      <c r="D7" s="51" t="inlineStr">
        <is>
          <t>만찬장</t>
        </is>
      </c>
      <c r="E7" s="51" t="inlineStr">
        <is>
          <t>텍스트 (전환 상태)</t>
        </is>
      </c>
      <c r="F7" s="52" t="inlineStr">
        <is>
          <t>1. 우로스를 보유한 상태</t>
        </is>
      </c>
      <c r="G7" s="52" t="inlineStr">
        <is>
          <t>1. 메인 화면에서 사도를 클릭한다.
2. 사도에서 우로스를 클릭한다.
3. 하단에 이름표를 봐서 이름이 우로스(사악)인지 확인한다.(우로스이면 전환 버튼을 클릭해 사악으로 바꾼다)
4. 만찬장으로 이동하고 우로스를 초대한다.
5. 초대 후 대사를 스킵 없이 확인한다.</t>
        </is>
      </c>
      <c r="H7" s="51" t="inlineStr">
        <is>
          <t>초대 후 모든 대사에서
1. 아래 현상이 없음
 - 글자 깨짐
 - 말풍선 밖으로 넘침
 - 문장 잘림
 - 코드 문자({이름} 등) 노출
 - 사도 이름과 대사 불일치
2. 전환한 형태(사악)에 맞는 이름과 대사가 출력됨</t>
        </is>
      </c>
      <c r="I7" s="50" t="inlineStr">
        <is>
          <t>Pass</t>
        </is>
      </c>
      <c r="J7" s="50" t="n"/>
      <c r="K7" s="50" t="n"/>
      <c r="L7" s="51" t="inlineStr">
        <is>
          <t>공지에 수정 전 현상이 없어 정상 출력 기준으로 확인</t>
        </is>
      </c>
    </row>
    <row r="8" ht="121.5" customHeight="1" s="29">
      <c r="A8" s="50" t="n">
        <v>5</v>
      </c>
      <c r="B8" s="50" t="n">
        <v>20</v>
      </c>
      <c r="C8" s="51" t="inlineStr">
        <is>
          <t>오류 수정</t>
        </is>
      </c>
      <c r="D8" s="51" t="inlineStr">
        <is>
          <t>만찬장</t>
        </is>
      </c>
      <c r="E8" s="51" t="inlineStr">
        <is>
          <t>텍스트 (기본 상태, 회귀)</t>
        </is>
      </c>
      <c r="F8" s="52" t="inlineStr">
        <is>
          <t>1. 우로스를 보유한 상태</t>
        </is>
      </c>
      <c r="G8" s="52" t="inlineStr">
        <is>
          <t>1. 메인 화면에서 사도를 클릭한다.
2. 사도에서 우로스를 클릭한다.
3. 하단에 이름표를 봐서 이름이 우로스인지 확인한다.(우로스(사악)이면 전환 버튼을 클릭해 기본 형태로 바꾼다)
4. 만찬장으로 이동하고 우로스를 초대한다.
5. 초대 후 대사를 스킵 없이 확인한다.</t>
        </is>
      </c>
      <c r="H8" s="51" t="inlineStr">
        <is>
          <t>초대 후 모든 대사에서
1. 아래 현상이 없음
 - 글자 깨짐
 - 말풍선 밖으로 넘침
 - 문장 잘림
 - 코드 문자({이름} 등) 노출
 - 사도 이름과 대사 불일치
2. 기본 형태에 맞는 이름과 대사가 출력됨</t>
        </is>
      </c>
      <c r="I8" s="50" t="inlineStr">
        <is>
          <t>Pass</t>
        </is>
      </c>
      <c r="J8" s="50" t="n"/>
      <c r="K8" s="50" t="n"/>
      <c r="L8" s="52" t="inlineStr">
        <is>
          <t>No 4의 회귀 확인</t>
        </is>
      </c>
    </row>
    <row r="9" ht="54" customHeight="1" s="29">
      <c r="A9" s="50" t="n">
        <v>6</v>
      </c>
      <c r="B9" s="54" t="inlineStr">
        <is>
          <t>23-2</t>
        </is>
      </c>
      <c r="C9" s="51" t="inlineStr">
        <is>
          <t>오류 수정</t>
        </is>
      </c>
      <c r="D9" s="51" t="inlineStr">
        <is>
          <t>우편</t>
        </is>
      </c>
      <c r="E9" s="52" t="n"/>
      <c r="F9" s="52" t="inlineStr">
        <is>
          <t>10/15 정기점검 이후 접속한 계정</t>
        </is>
      </c>
      <c r="G9" s="52" t="inlineStr">
        <is>
          <t>1. 우편함을 연다
2. 해금 보상 관련 우편이 있는지 확인한다.</t>
        </is>
      </c>
      <c r="H9" s="51" t="inlineStr">
        <is>
          <t>대상 계정이면 누락 해금 보상 우편이 도착해 있음</t>
        </is>
      </c>
      <c r="I9" s="50" t="inlineStr">
        <is>
          <t>N/A</t>
        </is>
      </c>
      <c r="J9" s="50" t="n"/>
      <c r="K9" s="50" t="n"/>
      <c r="L9" s="51" t="inlineStr">
        <is>
          <t>우편함과 수령 기록 모두 해금 보상 우편 없음. 공지에 지급 대상 범위가 없어 본 계정이 대상인지 판정할 수 없음. 10/22 재확인 예정</t>
        </is>
      </c>
    </row>
    <row r="10" ht="108" customHeight="1" s="29">
      <c r="A10" s="50" t="n">
        <v>7</v>
      </c>
      <c r="B10" s="50" t="n">
        <v>21</v>
      </c>
      <c r="C10" s="51" t="inlineStr">
        <is>
          <t>오류 수정</t>
        </is>
      </c>
      <c r="D10" s="51" t="inlineStr">
        <is>
          <t>보드 가이드</t>
        </is>
      </c>
      <c r="E10" s="52" t="inlineStr">
        <is>
          <t>UI 노출</t>
        </is>
      </c>
      <c r="F10" s="52" t="inlineStr">
        <is>
          <t>1. 한 명 이상의 사도를 보유한 상태 (사도: 에르핀(왕도))</t>
        </is>
      </c>
      <c r="G10" s="52" t="inlineStr">
        <is>
          <t>1. 메인 화면에서 사도를 클릭한다.
2. 사도를 클릭한다.
3. 좌측 보드 버튼을 클릭한다.
4. 우측 하단 보드 가이드를 클릭한다.
5. 보드 가이드 안에서 스크롤 등 조작을 한다.
6. 보드 가이드를 닫는다.</t>
        </is>
      </c>
      <c r="H10" s="51" t="inlineStr">
        <is>
          <t>보드 가이드 UI에서
아래 현상이 없음
1. UI끼리 겹침
2. UI가 화면 밖으로 나감
3. 글자 잘림
4. 조작 중 UI가 깜빡이거나 사라짐
5. 닫은 뒤 가이드 UI가 화면에 남아 있음</t>
        </is>
      </c>
      <c r="I10" s="50" t="inlineStr">
        <is>
          <t>Pass</t>
        </is>
      </c>
      <c r="J10" s="50" t="n"/>
      <c r="K10" s="50" t="n"/>
      <c r="L10" s="51" t="inlineStr">
        <is>
          <t>공지에 발생 상황이 명시되지 않아 일반 사용 흐름(열기 → 조작 → 닫기)으로 확인</t>
        </is>
      </c>
    </row>
    <row r="11" ht="108" customHeight="1" s="29">
      <c r="A11" s="50" t="n">
        <v>8</v>
      </c>
      <c r="B11" s="50" t="n">
        <v>1</v>
      </c>
      <c r="C11" s="51" t="inlineStr">
        <is>
          <t>신규 콘텐츠</t>
        </is>
      </c>
      <c r="D11" s="51" t="inlineStr">
        <is>
          <t>차원 대충돌 2.0 BETA [광기] 시즌</t>
        </is>
      </c>
      <c r="E11" s="51" t="inlineStr">
        <is>
          <t>기간</t>
        </is>
      </c>
      <c r="F11" s="52" t="inlineStr">
        <is>
          <t>1. 10/15 정기점검 이후 접속한 상태
2. 차원 대충돌에 참여할 수 있는 진행도(침략 순한맛 5-10 클리어)</t>
        </is>
      </c>
      <c r="G11" s="52" t="inlineStr">
        <is>
          <t>1. 메인 화면에서 우측 하단의 모험 버튼을 클릭한다.
2. 좌측 하단에 있는 차원 대충돌 2.0 아래 남은 시간을 확인한다.
3. 차원 대충돌 2.0을 클릭한다.
4. 차원 대충돌 2.0 내부에서도 남은 시간을 확인한다.</t>
        </is>
      </c>
      <c r="H11" s="52" t="inlineStr">
        <is>
          <t>1. 모험 화면의 차원 대충돌 2.0 남은 시간이 공지의 종료 시각(10/22 10:59)과 일치함
2. 차원 대충돌 2.0 화면 안의 남은 시간도 공지의 종료 시각과 일치함
3. 두 화면의 남은 시간 표기가 서로 같음</t>
        </is>
      </c>
      <c r="I11" s="50" t="inlineStr">
        <is>
          <t>Pass</t>
        </is>
      </c>
      <c r="J11" s="50" t="n"/>
      <c r="K11" s="50" t="n"/>
      <c r="L11" s="52" t="inlineStr">
        <is>
          <t xml:space="preserve">1차 테스트 시간 10/16 19:11
남은 시간 05일 15시간 47분 </t>
        </is>
      </c>
    </row>
    <row r="12" ht="94.5" customHeight="1" s="29">
      <c r="A12" s="50" t="n">
        <v>9</v>
      </c>
      <c r="B12" s="50" t="n">
        <v>1</v>
      </c>
      <c r="C12" s="51" t="inlineStr">
        <is>
          <t>신규 콘텐츠</t>
        </is>
      </c>
      <c r="D12" s="51" t="inlineStr">
        <is>
          <t>차원 대충돌 2.0 BETA [광기] 시즌</t>
        </is>
      </c>
      <c r="E12" s="51" t="inlineStr">
        <is>
          <t xml:space="preserve">두 차원 구조 </t>
        </is>
      </c>
      <c r="F12" s="52" t="inlineStr">
        <is>
          <t>1. 두 명 이상의 사도를 보유한 상태</t>
        </is>
      </c>
      <c r="G12" s="52" t="inlineStr">
        <is>
          <t>1. 모험 -&gt; 차원 대충돌 2.0에 입장한다.
2. 림의 이면세계와 셰이디의 차원이 동시에 열려있는 지 확인한다.
3. 두 세계를 번갈아 가면서 입장이 되는 지 확인한다.</t>
        </is>
      </c>
      <c r="H12" s="52" t="inlineStr">
        <is>
          <t>1. 차원 대충돌 2.0에 입장 시 림의 이면세계와 셰이디의 차원 버튼이 활성화 되어있음
2. 림의 이면세계 버튼 클릭시 림의 이면세계 로 입장
3. 셰이디의 차원 버튼 클릭 시 셰이디의 차원 입장</t>
        </is>
      </c>
      <c r="I12" s="50" t="inlineStr">
        <is>
          <t>Pass</t>
        </is>
      </c>
      <c r="J12" s="50" t="n"/>
      <c r="K12" s="50" t="n"/>
      <c r="L12" s="52" t="n"/>
    </row>
    <row r="13" ht="66" customHeight="1" s="29">
      <c r="A13" s="50" t="n">
        <v>10</v>
      </c>
      <c r="B13" s="50" t="n">
        <v>1</v>
      </c>
      <c r="C13" s="51" t="inlineStr">
        <is>
          <t>신규 콘텐츠</t>
        </is>
      </c>
      <c r="D13" s="51" t="inlineStr">
        <is>
          <t>차원 대충돌 2.0 BETA [광기] 시즌</t>
        </is>
      </c>
      <c r="E13" s="51" t="inlineStr">
        <is>
          <t>차원 간 사도 중복 사용 불가 (빈자리 있음)</t>
        </is>
      </c>
      <c r="F13" s="52" t="inlineStr">
        <is>
          <t>1. 두 명 이상의 사도를 보유한 상태 (사도 A: 시온 더 다크불릿)
2. 셰이디의 차원 편성에서 사도 A의 배치 줄에 빈자리가 있는 상태</t>
        </is>
      </c>
      <c r="G13" s="52" t="inlineStr">
        <is>
          <t>1. 모험 → 차원 대충돌 2.0에 입장한다.
2. 림의 이면세계에서 사도 A를 편성해 전투를 1회 진행한다.
3. 셰이디의 차원으로 이동해 편성 화면을 연다.
4. 사도 A를 클릭한다.</t>
        </is>
      </c>
      <c r="H13" s="52" t="inlineStr">
        <is>
          <t>1. 사도 A가 사용 중 UI로 잠겨 있음
2. 사도 A 클릭 시 「림의 이면세계에 속해 있는 사도는 편성할 수 없습니다」 문구가 표시되고 편성되지 않음</t>
        </is>
      </c>
      <c r="I13" s="50" t="inlineStr">
        <is>
          <t>Pass</t>
        </is>
      </c>
      <c r="J13" s="50" t="n"/>
      <c r="K13" s="50" t="n"/>
      <c r="L13" s="51" t="inlineStr">
        <is>
          <t>확인: 2026-10-16 17:55 / iPhone 14</t>
        </is>
      </c>
    </row>
    <row r="14" ht="51" customHeight="1" s="29">
      <c r="A14" s="50" t="n">
        <v>11</v>
      </c>
      <c r="B14" s="50" t="n">
        <v>1</v>
      </c>
      <c r="C14" s="51" t="inlineStr">
        <is>
          <t>신규 콘텐츠</t>
        </is>
      </c>
      <c r="D14" s="51" t="inlineStr">
        <is>
          <t>차원 대충돌 2.0 BETA [광기] 시즌</t>
        </is>
      </c>
      <c r="E14" s="51" t="inlineStr">
        <is>
          <t>차원 간 사도 중복 사용 불가 (빈자리 없음)</t>
        </is>
      </c>
      <c r="F14" s="52" t="inlineStr">
        <is>
          <t>1. No 10과 같은 상태 (사도 A: 시온 더 다크불릿)
2. 셰이디의 차원 편성에서 사도 A의 배치 줄에 빈자리가 없는 상태</t>
        </is>
      </c>
      <c r="G14" s="52" t="inlineStr">
        <is>
          <t>1. 모험 → 차원 대충돌 2.0에 입장한다.
2. 셰이디의 차원 편성 화면을 연다.
3. 사도 A를 클릭한다.</t>
        </is>
      </c>
      <c r="H14" s="52" t="inlineStr">
        <is>
          <t>1. 사도 A가 사용 중 UI로 잠겨 있음
2. 사도 A가 편성되지 않음</t>
        </is>
      </c>
      <c r="I14" s="50" t="inlineStr">
        <is>
          <t>Pass</t>
        </is>
      </c>
      <c r="J14" s="50" t="n"/>
      <c r="K14" s="50" t="inlineStr">
        <is>
          <t>ISSUE-001 / TRK-1</t>
        </is>
      </c>
      <c r="L14" s="51" t="inlineStr">
        <is>
          <t>편성은 막히지만 안내 문구가 사용 중 사유가 아닌 「○열에는 더 이상 빈 자리가 없어요…」로 표시됨. 줄에 빈자리가 있을 때만 사용 중 문구가 표시됨(No 10과 비교) → 개선 제안
확인: 2026-10-16 17:55 / iPhone 14</t>
        </is>
      </c>
    </row>
    <row r="15" ht="66" customHeight="1" s="29">
      <c r="A15" s="50" t="n">
        <v>12</v>
      </c>
      <c r="B15" s="50" t="n">
        <v>1</v>
      </c>
      <c r="C15" s="51" t="inlineStr">
        <is>
          <t>신규 콘텐츠</t>
        </is>
      </c>
      <c r="D15" s="51" t="inlineStr">
        <is>
          <t>차원 대충돌 2.0 BETA [광기] 시즌</t>
        </is>
      </c>
      <c r="E15" s="51" t="inlineStr">
        <is>
          <t>기록 초기화</t>
        </is>
      </c>
      <c r="F15" s="52" t="inlineStr">
        <is>
          <t>1. No 10을 마친 상태 (사도 A가 림의 이면세계 사용으로 잠김)</t>
        </is>
      </c>
      <c r="G15" s="52" t="inlineStr">
        <is>
          <t>1. 차원 대충돌 2.0 화면에서 기록 초기화 버튼을 누른다. [확인 필요: 버튼 위치]
2. 초기화 안내 문구를 확인하고 진행한다.
3. 셰이디의 차원 편성 화면을 연다.
4. 사도 A를 편성한다.</t>
        </is>
      </c>
      <c r="H15" s="52" t="inlineStr">
        <is>
          <t>1. 초기화 전 안내 문구에 초기화되는 범위가 표시됨
2. 초기화 후 사도 A의 사용 중 표시가 사라짐
3. 사도 A를 셰이디의 차원에 편성할 수 있음
4. 안내 문구에 적힌 범위 밖의 항목(이미 받은 보상 등)은 그대로 유지됨</t>
        </is>
      </c>
      <c r="I15" s="50" t="inlineStr">
        <is>
          <t>Pass</t>
        </is>
      </c>
      <c r="J15" s="50" t="n"/>
      <c r="K15" s="50" t="n"/>
      <c r="L15" s="51" t="inlineStr">
        <is>
          <t>초기화 범위(한쪽 차원/두 차원)는 공지에 없어 게임 내 안내 문구 기준으로 판정. 실행 전 안내 문구 캡처. 실제 진행 기록이 지워지므로 시즌 진행에 손해가 없을 때 실행</t>
        </is>
      </c>
    </row>
    <row r="16" ht="81" customHeight="1" s="29">
      <c r="A16" s="50" t="n">
        <v>13</v>
      </c>
      <c r="B16" s="50" t="n">
        <v>2</v>
      </c>
      <c r="C16" s="51" t="inlineStr">
        <is>
          <t>신규 콘텐츠</t>
        </is>
      </c>
      <c r="D16" s="51" t="inlineStr">
        <is>
          <t>림의 이면세계</t>
        </is>
      </c>
      <c r="E16" s="51" t="inlineStr">
        <is>
          <t>아티팩트 카드 구매 횟수</t>
        </is>
      </c>
      <c r="F16" s="52" t="inlineStr">
        <is>
          <t>1. 림의 이면세계에 입장할 수 있는 상태
2. 카드 구매에 필요한 재화를 남은 구매 횟수 이상 보유한 상태</t>
        </is>
      </c>
      <c r="G16" s="52" t="inlineStr">
        <is>
          <t>1. 림의 이면세계에 입장한다.
2. 아티팩트 카드 구매 화면에서 남은 구매 횟수를 확인한다.
3. 카드를 1장 구매하고 남은 횟수를 다시 확인한다.
4. 남은 횟수를 모두 쓸 때까지 구매한다.
5. 횟수를 모두 쓴 뒤 한 번 더 구매를 시도한다.</t>
        </is>
      </c>
      <c r="H16" s="52" t="inlineStr">
        <is>
          <t>1. 카드를 구매할 때마다 남은 구매 횟수가 1씩 줄어듦
2. 횟수를 모두 쓰면 추가 구매가 되지 않음
3. 구매되지 않은 시도에서는 재화가 차감되지 않음</t>
        </is>
      </c>
      <c r="I16" s="50" t="inlineStr">
        <is>
          <t>Pass</t>
        </is>
      </c>
      <c r="J16" s="50" t="n"/>
      <c r="K16" s="50" t="n"/>
      <c r="L16" s="51" t="inlineStr">
        <is>
          <t>구매 재화 종류와 횟수 기준(스테이지별/시즌 전체)은 실행 시 확인해 기록
1차 테스트 : 9회/ 제 3구간 61단계</t>
        </is>
      </c>
    </row>
    <row r="17" ht="51" customHeight="1" s="29">
      <c r="A17" s="50" t="n">
        <v>14</v>
      </c>
      <c r="B17" s="50" t="n">
        <v>2</v>
      </c>
      <c r="C17" s="51" t="inlineStr">
        <is>
          <t>신규 콘텐츠</t>
        </is>
      </c>
      <c r="D17" s="51" t="inlineStr">
        <is>
          <t>림의 이면세계</t>
        </is>
      </c>
      <c r="E17" s="51" t="inlineStr">
        <is>
          <t>스테이지 구간 선택</t>
        </is>
      </c>
      <c r="F17" s="52" t="inlineStr">
        <is>
          <t>1. 림의 이면세계에 입장할 수 있는 상태</t>
        </is>
      </c>
      <c r="G17" s="52" t="inlineStr">
        <is>
          <t>1. 림의 이면세계에 입장한다.
2. 스테이지 구간 선택 화면을 확인한다.
3. 구간 하나를 선택해 전투를 시작한다.</t>
        </is>
      </c>
      <c r="H17" s="52" t="inlineStr">
        <is>
          <t>1. 스테이지 구간을 선택할 수 있는 UI가 표시됨
2. 선택한 구간의 전투로 진입함
3. 전투에서 다수의 몬스터가 등장함</t>
        </is>
      </c>
      <c r="I17" s="50" t="inlineStr">
        <is>
          <t>Pass</t>
        </is>
      </c>
      <c r="J17" s="50" t="n"/>
      <c r="K17" s="50" t="n"/>
      <c r="L17" s="51" t="inlineStr">
        <is>
          <t>선택한 구간: 제 3구간 61단계</t>
        </is>
      </c>
    </row>
    <row r="18" ht="51" customHeight="1" s="29">
      <c r="A18" s="50" t="n">
        <v>15</v>
      </c>
      <c r="B18" s="50" t="n">
        <v>2</v>
      </c>
      <c r="C18" s="51" t="inlineStr">
        <is>
          <t>신규 콘텐츠</t>
        </is>
      </c>
      <c r="D18" s="51" t="inlineStr">
        <is>
          <t>림의 이면세계</t>
        </is>
      </c>
      <c r="E18" s="51" t="inlineStr">
        <is>
          <t>클리어 보상</t>
        </is>
      </c>
      <c r="F18" s="52" t="inlineStr">
        <is>
          <t>1. 림의 이면세계에 입장할 수 있는 상태
2. 전투 전 코인과 이면의 파편 보유량을 기록한 상태</t>
        </is>
      </c>
      <c r="G18" s="52" t="inlineStr">
        <is>
          <t>1. 림의 이면세계 스테이지를 클리어한다.
2. 결과 화면의 획득량을 확인한다.
3. 코인과 이면의 파편 보유량을 다시 확인한다.</t>
        </is>
      </c>
      <c r="H18" s="52" t="inlineStr">
        <is>
          <t>1. 결과 화면에 코인 획득이 표시됨
2. 클리어 후 코인 보유량 증가분이 결과 화면의 획득량과 일치함
3. 이면의 파편은 지급 단계를 클리어했을 때만 획득됨</t>
        </is>
      </c>
      <c r="I18" s="50" t="inlineStr">
        <is>
          <t>Pass</t>
        </is>
      </c>
      <c r="J18" s="50" t="n"/>
      <c r="K18" s="50" t="n"/>
      <c r="L18" s="51" t="inlineStr">
        <is>
          <t>전투 전 보유량: 코인 100 / 파편 0
전투 후 보유량: 코인 105 / 파편 0
이면의 파편은 특정 단계 클리어 시에만 지급됨. 이번 클리어 단계(제3구간 61단계)는 지급 단계가 아니라 파편 0. 지급 단계 클리어 후 파편 획득은 No 22(레벨업 전 파편 5 보유)에서 확인
공지는 "클리어 시 코인과 이면의 파편 획득"으로만 안내되어 있음</t>
        </is>
      </c>
    </row>
    <row r="19" ht="51" customHeight="1" s="29">
      <c r="A19" s="50" t="n">
        <v>16</v>
      </c>
      <c r="B19" s="50" t="n">
        <v>3</v>
      </c>
      <c r="C19" s="51" t="inlineStr">
        <is>
          <t>신규 콘텐츠</t>
        </is>
      </c>
      <c r="D19" s="51" t="inlineStr">
        <is>
          <t>셰이디의 차원</t>
        </is>
      </c>
      <c r="E19" s="51" t="inlineStr">
        <is>
          <t>모든 카드 구매 가능</t>
        </is>
      </c>
      <c r="F19" s="52" t="inlineStr">
        <is>
          <t>1. 셰이디의 차원에 입장할 수 있는 상태
2. 카드 구매에 필요한 코인을 보유한 상태
3. 보유하지 않은 아티팩트 카드가 있는 상태</t>
        </is>
      </c>
      <c r="G19" s="52" t="inlineStr">
        <is>
          <t>1. 셰이디의 차원에 입장한다.
2. 아티팩트 카드 구매 목록을 확인한다.
3. 보유하지 않은 아티팩트 카드 1장을 구매한다. (구매 즉시 사도의 장비 칸에 장착됨)</t>
        </is>
      </c>
      <c r="H19" s="52" t="inlineStr">
        <is>
          <t>1. 보유한 카드와 보유하지 않은 카드가 모두 구매 목록에 표시됨
2. 보유하지 않은 카드도 구매할 수 있음
3. 구매 시 코인이 차감됨</t>
        </is>
      </c>
      <c r="I19" s="50" t="inlineStr">
        <is>
          <t>Pass</t>
        </is>
      </c>
      <c r="J19" s="50" t="n"/>
      <c r="K19" s="50" t="n"/>
      <c r="L19" s="51" t="inlineStr">
        <is>
          <t>구매한 카드: 장난감 만원경</t>
        </is>
      </c>
    </row>
    <row r="20" ht="81" customHeight="1" s="29">
      <c r="A20" s="50" t="n">
        <v>17</v>
      </c>
      <c r="B20" s="50" t="n">
        <v>3</v>
      </c>
      <c r="C20" s="51" t="inlineStr">
        <is>
          <t>신규 콘텐츠</t>
        </is>
      </c>
      <c r="D20" s="51" t="inlineStr">
        <is>
          <t>셰이디의 차원</t>
        </is>
      </c>
      <c r="E20" s="51" t="inlineStr">
        <is>
          <t>미보유 아티팩트 1레벨</t>
        </is>
      </c>
      <c r="F20" s="52" t="inlineStr">
        <is>
          <t>1. 셰이디의 차원에 입장할 수 있는 상태
2. 평소 보유하지 않은 아티팩트 A와, 보유하고 강화한 아티팩트 B가 있는 상태(아티팩트 A:레비의 단도, 아티팩트 B: 로네의 건틀릿)
3. 아티팩트 수집 화면에서 A의 1레벨 효과 수치와 B의 현재 효과 수치를 기록한 상태</t>
        </is>
      </c>
      <c r="G20" s="52" t="inlineStr">
        <is>
          <t>1. 셰이디의 차원에서 아티팩트 A를 구매해 장착한다.
2. 장착된 A의 효과 설명 수치를 확인한다.
3. 아티팩트 B를 구매해 장착한다.
4. 장착된 B의 효과 설명 수치를 확인한다.</t>
        </is>
      </c>
      <c r="H20" s="52" t="inlineStr">
        <is>
          <t>1. 보유하지 않은 A도 구매해 장착할 수 있음
2. 장착된 A의 레벨이 1로 표시됨
3. 장착된 B의 레벨이 수집 화면의 보유 레벨과 같게 표시됨</t>
        </is>
      </c>
      <c r="I20" s="50" t="inlineStr">
        <is>
          <t>Pass</t>
        </is>
      </c>
      <c r="J20" s="50" t="n"/>
      <c r="K20" s="50" t="n"/>
      <c r="L20" s="52" t="inlineStr">
        <is>
          <t>A: / 표시 레벨: 1
B: / 보유 레벨: 2 / 표시 레벨: 2</t>
        </is>
      </c>
    </row>
    <row r="21" ht="51" customHeight="1" s="29">
      <c r="A21" s="50" t="n">
        <v>18</v>
      </c>
      <c r="B21" s="50" t="n">
        <v>3</v>
      </c>
      <c r="C21" s="51" t="inlineStr">
        <is>
          <t>신규 콘텐츠</t>
        </is>
      </c>
      <c r="D21" s="51" t="inlineStr">
        <is>
          <t>셰이디의 차원</t>
        </is>
      </c>
      <c r="E21" s="51" t="inlineStr">
        <is>
          <t>같은 카드 중복 구매 불가</t>
        </is>
      </c>
      <c r="F21" s="52" t="inlineStr">
        <is>
          <t>1. No 16을 마친 상태</t>
        </is>
      </c>
      <c r="G21" s="52" t="inlineStr">
        <is>
          <t>1. 아티팩트 카드 구매 목록을 다시 연다.
2. No 16에서 구매한 카드의 상태를 확인한다.
3. 그 카드를 다시 구매하려고 시도한다.</t>
        </is>
      </c>
      <c r="H21" s="52" t="inlineStr">
        <is>
          <t>1. 이미 구매한 카드는 구매 불가 상태로 표시됨
2. 다시 구매되지 않고 코인이 차감되지 않음</t>
        </is>
      </c>
      <c r="I21" s="50" t="inlineStr">
        <is>
          <t>Pass</t>
        </is>
      </c>
      <c r="J21" s="50" t="n"/>
      <c r="K21" s="50" t="n"/>
      <c r="L21" s="51" t="inlineStr">
        <is>
          <t>공지에 없는 동작으로, 실제 게임 동작 기준으로 작성. 구매 즉시 장착되며 취소·해제 불가</t>
        </is>
      </c>
    </row>
    <row r="22" ht="36" customHeight="1" s="29">
      <c r="A22" s="50" t="n">
        <v>19</v>
      </c>
      <c r="B22" s="50" t="n">
        <v>3</v>
      </c>
      <c r="C22" s="51" t="inlineStr">
        <is>
          <t>신규 콘텐츠</t>
        </is>
      </c>
      <c r="D22" s="51" t="inlineStr">
        <is>
          <t>셰이디의 차원</t>
        </is>
      </c>
      <c r="E22" s="51" t="inlineStr">
        <is>
          <t>장비 칸 가득 참</t>
        </is>
      </c>
      <c r="F22" s="52" t="inlineStr">
        <is>
          <t>1. 장비 칸 3개가 모두 찬 사도가 있는 상태 
(사도: 에르핀(왕도))</t>
        </is>
      </c>
      <c r="G22" s="52" t="inlineStr">
        <is>
          <t>1. 아티팩트 카드 구매 목록을 연다.
2. 장비 칸이 가득 찬 사도에게 장착되도록 아티팩트를 구매하려고 시도한다.</t>
        </is>
      </c>
      <c r="H22" s="52" t="inlineStr">
        <is>
          <t>1. 구매되지 않음
2. 코인이 차감되지 않음</t>
        </is>
      </c>
      <c r="I22" s="50" t="inlineStr">
        <is>
          <t>Pass</t>
        </is>
      </c>
      <c r="J22" s="50" t="n"/>
      <c r="K22" s="50" t="n"/>
      <c r="L22" s="51" t="inlineStr">
        <is>
          <t>사도당 장비 칸 3개</t>
        </is>
      </c>
    </row>
    <row r="23" ht="66" customHeight="1" s="29">
      <c r="A23" s="50" t="n">
        <v>20</v>
      </c>
      <c r="B23" s="50" t="n">
        <v>3</v>
      </c>
      <c r="C23" s="51" t="inlineStr">
        <is>
          <t>신규 콘텐츠</t>
        </is>
      </c>
      <c r="D23" s="51" t="inlineStr">
        <is>
          <t>셰이디의 차원</t>
        </is>
      </c>
      <c r="E23" s="51" t="inlineStr">
        <is>
          <t>스테이지 순서 클리어</t>
        </is>
      </c>
      <c r="F23" s="52" t="inlineStr">
        <is>
          <t>1. 셰이디의 차원에서 아직 클리어하지 않은 스테이지가 2개 이상 있는 상태</t>
        </is>
      </c>
      <c r="G23" s="52" t="inlineStr">
        <is>
          <t>1. 셰이디의 차원 스테이지 목록을 확인한다.
2. 클리어하지 않은 스테이지 중 두 번째 스테이지를 먼저 선택한다.
3. 첫 번째 미클리어 스테이지를 클리어한다.
4. 두 번째 스테이지를 다시 선택한다.</t>
        </is>
      </c>
      <c r="H23" s="52" t="inlineStr">
        <is>
          <t>1. 앞 스테이지를 클리어하기 전에는 다음 스테이지에 진입할 수 없음
2. 앞 스테이지 클리어 후 다음 스테이지에 진입할 수 있음
3. 스테이지에 보스가 등장함</t>
        </is>
      </c>
      <c r="I23" s="50" t="inlineStr">
        <is>
          <t>Pass</t>
        </is>
      </c>
      <c r="J23" s="50" t="n"/>
      <c r="K23" s="50" t="n"/>
      <c r="L23" s="52" t="n"/>
    </row>
    <row r="24" ht="66" customHeight="1" s="29">
      <c r="A24" s="50" t="n">
        <v>21</v>
      </c>
      <c r="B24" s="50" t="n">
        <v>3</v>
      </c>
      <c r="C24" s="51" t="inlineStr">
        <is>
          <t>신규 콘텐츠</t>
        </is>
      </c>
      <c r="D24" s="51" t="inlineStr">
        <is>
          <t>셰이디의 차원</t>
        </is>
      </c>
      <c r="E24" s="51" t="inlineStr">
        <is>
          <t>보스 특수 디버프 조건 (기절 2회)</t>
        </is>
      </c>
      <c r="F24" s="52" t="inlineStr">
        <is>
          <t>1. 셰이디의 차원 보스 스테이지에 진입할 수 있는 상태
2. 기절을 부여할 수 있는 사도를 편성한 상태 (사도: )</t>
        </is>
      </c>
      <c r="G24" s="52" t="inlineStr">
        <is>
          <t>1. 보스 스테이지에 진입한다.
2. 보스에게 기절을 2회 부여한다.
3. 보스의 전멸 패턴이 발동하는 시점까지 전투를 진행한다.
4. 전멸 패턴이 파훼되는지 확인한다.</t>
        </is>
      </c>
      <c r="H24" s="52" t="inlineStr">
        <is>
          <t>1. 기절 2회 부여 후 보스의 전멸 패턴이 파훼됨</t>
        </is>
      </c>
      <c r="I24" s="50" t="inlineStr">
        <is>
          <t>Pass</t>
        </is>
      </c>
      <c r="J24" s="50" t="n"/>
      <c r="K24" s="50" t="inlineStr">
        <is>
          <t>ISSUE-002 / TRK-2</t>
        </is>
      </c>
      <c r="L24" s="51" t="inlineStr">
        <is>
          <t>조건 출처: 외부 검색(여러 커뮤니티에 같은 내용으로 안내됨. 게임 내 안내 미확인)
파훼 시 실제로 보인 현상: 그로기 상태</t>
        </is>
      </c>
    </row>
    <row r="25" ht="66" customHeight="1" s="29">
      <c r="A25" s="50" t="n">
        <v>22</v>
      </c>
      <c r="B25" s="50" t="n">
        <v>4</v>
      </c>
      <c r="C25" s="51" t="inlineStr">
        <is>
          <t>신규 콘텐츠</t>
        </is>
      </c>
      <c r="D25" s="51" t="inlineStr">
        <is>
          <t>이면의 파편</t>
        </is>
      </c>
      <c r="E25" s="51" t="inlineStr">
        <is>
          <t>레벨업</t>
        </is>
      </c>
      <c r="F25" s="52" t="inlineStr">
        <is>
          <t>1. 레벨업에 필요한 이면의 파편을 보유한 상태</t>
        </is>
      </c>
      <c r="G25" s="52" t="inlineStr">
        <is>
          <t>1. 차원대충돌 2.0 화면 진입한다.
2. 우측 하단 이면의 파편 설정을 클릭한다.
3. 현재 레벨, 버프 설명, 파편 보유량을 확인한다.
4. 레벨업을 5회 진행한다.
5. 레벨, 버프 설명, 파편 보유량을 다시 확인한다.</t>
        </is>
      </c>
      <c r="H25" s="52" t="inlineStr">
        <is>
          <t>1. 레벨이 5 오름
2. 레벨업에 필요한 만큼 파편이 차감됨
3. 버프 설명의 효과가 이전보다 강해짐</t>
        </is>
      </c>
      <c r="I25" s="50" t="inlineStr">
        <is>
          <t>Pass</t>
        </is>
      </c>
      <c r="J25" s="50" t="n"/>
      <c r="K25" s="50" t="n"/>
      <c r="L25" s="51" t="inlineStr">
        <is>
          <t xml:space="preserve">되XX 수 X어
레벨업 전: 0 / 공속 25%, 받는 피해량 15% / 5 
레벨업 후: 5 / 공속 125%, 받는 피해량 35% / 0 </t>
        </is>
      </c>
    </row>
    <row r="26" ht="66" customHeight="1" s="29">
      <c r="A26" s="50" t="n">
        <v>23</v>
      </c>
      <c r="B26" s="50" t="n">
        <v>4</v>
      </c>
      <c r="C26" s="51" t="inlineStr">
        <is>
          <t>신규 콘텐츠</t>
        </is>
      </c>
      <c r="D26" s="51" t="inlineStr">
        <is>
          <t>이면의 파편</t>
        </is>
      </c>
      <c r="E26" s="51" t="inlineStr">
        <is>
          <t>초기화·재설정</t>
        </is>
      </c>
      <c r="F26" s="52" t="inlineStr">
        <is>
          <t>1. 이면의 파편 레벨을 1회 이상 올린 상태</t>
        </is>
      </c>
      <c r="G26" s="52" t="inlineStr">
        <is>
          <t>1. 차원대충돌 2.0 화면 진입한다.
2. 우측 하단 이면의 파편 설정을 클릭한다.
3. 초기화 안내 문구를 확인하고 진행한다.
4. 레벨과 파편 보유량을 확인한다.
5. 다시 레벨을 설정한다.</t>
        </is>
      </c>
      <c r="H26" s="52" t="inlineStr">
        <is>
          <t>1. 로비에서 초기화와 재설정이 가능함
2. 초기화 후 레벨과 파편이 안내 문구에 적힌 대로 처리됨
3. 초기화 후 다시 레벨을 설정할 수 있음</t>
        </is>
      </c>
      <c r="I26" s="50" t="inlineStr">
        <is>
          <t>Pass</t>
        </is>
      </c>
      <c r="J26" s="50" t="n"/>
      <c r="K26" s="50" t="n"/>
      <c r="L26" s="51" t="inlineStr">
        <is>
          <t>초기화 시 파편 반환 여부는 공지에 없어 안내 문구 기준으로 판정. 안내 문구 캡처</t>
        </is>
      </c>
    </row>
    <row r="27" ht="36" customHeight="1" s="29">
      <c r="A27" s="50" t="n">
        <v>24</v>
      </c>
      <c r="B27" s="50" t="n">
        <v>5</v>
      </c>
      <c r="C27" s="51" t="inlineStr">
        <is>
          <t>신규 콘텐츠</t>
        </is>
      </c>
      <c r="D27" s="51" t="inlineStr">
        <is>
          <t>차원 대충돌 2.0 BETA [광기] 시즌</t>
        </is>
      </c>
      <c r="E27" s="51" t="inlineStr">
        <is>
          <t>그룹 표시</t>
        </is>
      </c>
      <c r="F27" s="52" t="inlineStr">
        <is>
          <t>1. 계정 생성 181일 이상인 계정</t>
        </is>
      </c>
      <c r="G27" s="52" t="inlineStr">
        <is>
          <t xml:space="preserve">1. 모험 → 차원 대충돌 2.0에 입장한다.
2. 셰이디의 차원으로 입장한다.
3. 우측 상단의 그룹 표시를 확인한다. </t>
        </is>
      </c>
      <c r="H27" s="51" t="inlineStr">
        <is>
          <t>숙련 교주 그룹으로 표시됨</t>
        </is>
      </c>
      <c r="I27" s="50" t="inlineStr">
        <is>
          <t>Pass</t>
        </is>
      </c>
      <c r="J27" s="50" t="n"/>
      <c r="K27" s="50" t="n"/>
      <c r="L27" s="51" t="inlineStr">
        <is>
          <t>새싹 교주 그룹(180일 이하)은 확인할 계정이 없어 N/A</t>
        </is>
      </c>
    </row>
    <row r="28" ht="51" customHeight="1" s="29">
      <c r="A28" s="50" t="n">
        <v>25</v>
      </c>
      <c r="B28" s="50" t="n">
        <v>7</v>
      </c>
      <c r="C28" s="51" t="inlineStr">
        <is>
          <t>신규 콘텐츠</t>
        </is>
      </c>
      <c r="D28" s="51" t="inlineStr">
        <is>
          <t>메인 스토리</t>
        </is>
      </c>
      <c r="E28" s="51" t="inlineStr">
        <is>
          <t>시즌3 8챕터 해금</t>
        </is>
      </c>
      <c r="F28" s="52" t="inlineStr">
        <is>
          <t>1. 침략 - 순한맛 28월드 5스테이지 이상 클리어한 상태 (본 계정: 39-10)</t>
        </is>
      </c>
      <c r="G28" s="52" t="inlineStr">
        <is>
          <t>1. 극장 클릭하여 진입한다.
2. 좌측 하단 메인 스토리를 클릭한다.
3. 시즌3 8챕터를 선택한다.
4. 1~7화의 잠금 여부를 확인한다.</t>
        </is>
      </c>
      <c r="H28" s="52" t="inlineStr">
        <is>
          <t>1. 시즌3 8챕터 1~7화가 모두 열려 있음
2. 각 화를 선택하면 스토리가 재생됨</t>
        </is>
      </c>
      <c r="I28" s="50" t="inlineStr">
        <is>
          <t>Pass</t>
        </is>
      </c>
      <c r="J28" s="50" t="n"/>
      <c r="K28" s="50" t="n"/>
      <c r="L28" s="51" t="inlineStr">
        <is>
          <t>해금 조건을 이미 넘긴 계정이라 클리어 전 잠김은 확인 불가</t>
        </is>
      </c>
    </row>
    <row r="29" ht="36" customHeight="1" s="29">
      <c r="A29" s="50" t="n">
        <v>26</v>
      </c>
      <c r="B29" s="50" t="n">
        <v>8</v>
      </c>
      <c r="C29" s="51" t="inlineStr">
        <is>
          <t>신규 콘텐츠</t>
        </is>
      </c>
      <c r="D29" s="51" t="inlineStr">
        <is>
          <t>테마 스토리</t>
        </is>
      </c>
      <c r="E29" s="52" t="inlineStr">
        <is>
          <t>[사복] 미니 스토리</t>
        </is>
      </c>
      <c r="F29" s="52" t="inlineStr">
        <is>
          <t>1. 10/15 정기점검 이후 접속한 상태</t>
        </is>
      </c>
      <c r="G29" s="52" t="inlineStr">
        <is>
          <t>1. 이벤트 팝업을 클릭한다.
2. 촛불 하나 ! 비명 속 괴담 파티를 클릭한다.
3. 미니 스토리를 선택해 재생한다.</t>
        </is>
      </c>
      <c r="H29" s="52" t="inlineStr">
        <is>
          <t>1. 테마 [사복] 미니 스토리가 목록에 추가되어 있음
2. 선택하면 스토리가 재생됨</t>
        </is>
      </c>
      <c r="I29" s="50" t="inlineStr">
        <is>
          <t>Pass</t>
        </is>
      </c>
      <c r="J29" s="50" t="n"/>
      <c r="K29" s="50" t="n"/>
      <c r="L29" s="52" t="n"/>
    </row>
    <row r="30" ht="36" customHeight="1" s="29">
      <c r="A30" s="50" t="n">
        <v>27</v>
      </c>
      <c r="B30" s="50" t="n">
        <v>9</v>
      </c>
      <c r="C30" s="51" t="inlineStr">
        <is>
          <t>신규 콘텐츠</t>
        </is>
      </c>
      <c r="D30" s="51" t="inlineStr">
        <is>
          <t>기록소</t>
        </is>
      </c>
      <c r="E30" s="51" t="inlineStr">
        <is>
          <t>기억 조각</t>
        </is>
      </c>
      <c r="F30" s="52" t="inlineStr">
        <is>
          <t>1. No 25를 확인한 상태</t>
        </is>
      </c>
      <c r="G30" s="52" t="inlineStr">
        <is>
          <t>1. 교단 → 기록소 → 도감 → 기억 조각으로 이동한다.
2. 시즌3 8챕터 항목을 확인한다.</t>
        </is>
      </c>
      <c r="H30" s="51" t="inlineStr">
        <is>
          <t>시즌3 8챕터 1~7화 항목이 추가되어 있음</t>
        </is>
      </c>
      <c r="I30" s="50" t="inlineStr">
        <is>
          <t>Pass</t>
        </is>
      </c>
      <c r="J30" s="50" t="n"/>
      <c r="K30" s="50" t="n"/>
      <c r="L30" s="52" t="n"/>
    </row>
    <row r="31" ht="51" customHeight="1" s="29">
      <c r="A31" s="50" t="n">
        <v>28</v>
      </c>
      <c r="B31" s="50" t="n">
        <v>10</v>
      </c>
      <c r="C31" s="51" t="inlineStr">
        <is>
          <t>개선</t>
        </is>
      </c>
      <c r="D31" s="51" t="inlineStr">
        <is>
          <t>테마극장</t>
        </is>
      </c>
      <c r="E31" s="51" t="inlineStr">
        <is>
          <t>열람 조건 제거</t>
        </is>
      </c>
      <c r="F31" s="52" t="inlineStr">
        <is>
          <t>1. &lt;마음의 들판에 두고 온 기억&gt; 이벤트 스테이지를 클리어하지 않은 상태</t>
        </is>
      </c>
      <c r="G31" s="52" t="inlineStr">
        <is>
          <t>1. 이벤트를 눌러 목록으로 진입한다.
2. &lt;마음의 들판에 두고 온 기억&gt;을 선택한다.
3. 좌측 하단 스토리 열람을 시도한다.</t>
        </is>
      </c>
      <c r="H31" s="51" t="inlineStr">
        <is>
          <t>이벤트 스테이지를 클리어하지 않아도 스토리를 열람할 수 있음</t>
        </is>
      </c>
      <c r="I31" s="50" t="inlineStr">
        <is>
          <t>Pass</t>
        </is>
      </c>
      <c r="J31" s="50" t="n"/>
      <c r="K31" s="50" t="n"/>
      <c r="L31" s="51" t="inlineStr">
        <is>
          <t>이미 이벤트 스테이지를 클리어한 계정이면 조건 제거는 검증 불가, 열람 가능 여부만 확인</t>
        </is>
      </c>
    </row>
    <row r="32" ht="96" customHeight="1" s="29">
      <c r="A32" s="50" t="n">
        <v>29</v>
      </c>
      <c r="B32" s="50" t="n">
        <v>12</v>
      </c>
      <c r="C32" s="51" t="inlineStr">
        <is>
          <t>개선</t>
        </is>
      </c>
      <c r="D32" s="51" t="inlineStr">
        <is>
          <t>보드 가이드</t>
        </is>
      </c>
      <c r="E32" s="51" t="inlineStr">
        <is>
          <t>관문별 필터</t>
        </is>
      </c>
      <c r="F32" s="52" t="inlineStr">
        <is>
          <t>1. 한 명 이상의 사도를 보유한 상태 (사도: 에르핀(왕도))</t>
        </is>
      </c>
      <c r="G32" s="52" t="inlineStr">
        <is>
          <t>1. 메인 화면에서 사도를 클릭한다.
2. 사도를 클릭한다.
3. 좌측 보드 버튼을 클릭한다.
4. 우측 하단 보드 가이드를 클릭한다.
5. 관문 필터에서 관문 하나를 선택한다.
6. 다른 관문으로 바꿔 선택한다.</t>
        </is>
      </c>
      <c r="H32" s="52" t="inlineStr">
        <is>
          <t>1. 선택한 관문에 해당하는 항목만 표시됨
2. 관문을 바꾸면 목록이 바뀐 관문 기준으로 갱신됨</t>
        </is>
      </c>
      <c r="I32" s="50" t="inlineStr">
        <is>
          <t>Pass</t>
        </is>
      </c>
      <c r="J32" s="50" t="n"/>
      <c r="K32" s="50" t="n"/>
      <c r="L32" s="51" t="n"/>
    </row>
    <row r="33" ht="51" customHeight="1" s="29">
      <c r="A33" s="50" t="n">
        <v>30</v>
      </c>
      <c r="B33" s="50" t="n">
        <v>12</v>
      </c>
      <c r="C33" s="51" t="inlineStr">
        <is>
          <t>개선</t>
        </is>
      </c>
      <c r="D33" s="51" t="inlineStr">
        <is>
          <t>보드 가이드</t>
        </is>
      </c>
      <c r="E33" s="51" t="inlineStr">
        <is>
          <t>정렬</t>
        </is>
      </c>
      <c r="F33" s="52" t="inlineStr">
        <is>
          <t>1. No 29와 같은 상태</t>
        </is>
      </c>
      <c r="G33" s="52" t="inlineStr">
        <is>
          <t>1. 보드 가이드를 연다.
2. 정렬 기준을 바꾼다.
3. 목록 순서를 확인한다.</t>
        </is>
      </c>
      <c r="H33" s="52" t="inlineStr">
        <is>
          <t>1. 정렬 기준을 바꾸면 목록 순서가 그 기준대로 바뀜
2. 정렬 후에도 필터 조건이 유지됨</t>
        </is>
      </c>
      <c r="I33" s="50" t="inlineStr">
        <is>
          <t>Pass</t>
        </is>
      </c>
      <c r="J33" s="50" t="n"/>
      <c r="K33" s="50" t="n"/>
      <c r="L33" s="51" t="inlineStr">
        <is>
          <t>사용한 정렬 기준: 추천 -&gt; 가나다순</t>
        </is>
      </c>
    </row>
    <row r="34" ht="51" customHeight="1" s="29">
      <c r="A34" s="50" t="n">
        <v>31</v>
      </c>
      <c r="B34" s="50" t="n">
        <v>16</v>
      </c>
      <c r="C34" s="51" t="inlineStr">
        <is>
          <t>이벤트·상점</t>
        </is>
      </c>
      <c r="D34" s="51" t="inlineStr">
        <is>
          <t>부띠끄 샵</t>
        </is>
      </c>
      <c r="E34" s="52" t="inlineStr">
        <is>
          <t>[테마 사복] 5종 세트 할인</t>
        </is>
      </c>
      <c r="F34" s="52" t="inlineStr">
        <is>
          <t>1. 10/15 정기점검 이후, 10/22 10:59 이전</t>
        </is>
      </c>
      <c r="G34" s="52" t="inlineStr">
        <is>
          <t>1. 캐시 상점에서 부띠끄 샵을 클릭한다.
2. 촛불 하나! 비명 속 괴담 파티! 세트 할인율, 가격, 판매 기간을 확인한다.</t>
        </is>
      </c>
      <c r="H34" s="52" t="inlineStr">
        <is>
          <t>1. 할인율이 40%로 표시됨
2. 판매 종료가 10/22 10:59로 표시됨
3. 정가가 함께 표시되면 할인가가 정가의 60%임</t>
        </is>
      </c>
      <c r="I34" s="50" t="inlineStr">
        <is>
          <t>Pass</t>
        </is>
      </c>
      <c r="J34" s="50" t="n"/>
      <c r="K34" s="50" t="n"/>
      <c r="L34" s="51" t="inlineStr">
        <is>
          <t>결제하지 않음. 60%는 40% 할인에서 나온 값</t>
        </is>
      </c>
    </row>
    <row r="35" ht="36" customHeight="1" s="29">
      <c r="A35" s="50" t="n">
        <v>32</v>
      </c>
      <c r="B35" s="50" t="n">
        <v>16</v>
      </c>
      <c r="C35" s="51" t="inlineStr">
        <is>
          <t>이벤트·상점</t>
        </is>
      </c>
      <c r="D35" s="51" t="inlineStr">
        <is>
          <t>부띠끄 샵</t>
        </is>
      </c>
      <c r="E35" s="51" t="inlineStr">
        <is>
          <t>할인 종료 후 정가 입점</t>
        </is>
      </c>
      <c r="F35" s="52" t="inlineStr">
        <is>
          <t>1. 10/22 11:00 이후</t>
        </is>
      </c>
      <c r="G35" s="52" t="inlineStr">
        <is>
          <t>1. 부띠끄 샵에서 [테마 사복] 5종을 찾는다.
2. 가격과 판매 상태를 확인한다.</t>
        </is>
      </c>
      <c r="H35" s="52" t="inlineStr">
        <is>
          <t>1. 할인 표시가 사라짐
2. 정가로 부띠끄 샵에 판매 중임</t>
        </is>
      </c>
      <c r="I35" s="50" t="inlineStr">
        <is>
          <t>N/T</t>
        </is>
      </c>
      <c r="J35" s="50" t="n"/>
      <c r="K35" s="50" t="n"/>
      <c r="L35" s="52" t="inlineStr">
        <is>
          <t>10/22 11:00 이후에만 실행 가능. 결제하지 않음</t>
        </is>
      </c>
    </row>
    <row r="36" ht="36" customHeight="1" s="29">
      <c r="A36" s="50" t="n">
        <v>33</v>
      </c>
      <c r="B36" s="50" t="n">
        <v>14</v>
      </c>
      <c r="C36" s="51" t="inlineStr">
        <is>
          <t>이벤트·상점</t>
        </is>
      </c>
      <c r="D36" s="51" t="inlineStr">
        <is>
          <t>모집</t>
        </is>
      </c>
      <c r="E36" s="51" t="inlineStr">
        <is>
          <t>특별 픽업 사도 모집</t>
        </is>
      </c>
      <c r="F36" s="52" t="inlineStr">
        <is>
          <t>1. 10/15 정기점검 이후 접속한 상태</t>
        </is>
      </c>
      <c r="G36" s="52" t="inlineStr">
        <is>
          <t>1. 모집 화면을 연다. 
2. 특별 모집 -&gt; 픽업 사도 선택 모집을 클릭한다.
3. 모집 기간을 확인한다.</t>
        </is>
      </c>
      <c r="H36" s="51" t="inlineStr">
        <is>
          <t>픽업 대상 사도와 모집 기간이 공지(별도 공지 링크)와 일치함</t>
        </is>
      </c>
      <c r="I36" s="50" t="inlineStr">
        <is>
          <t>Pass</t>
        </is>
      </c>
      <c r="J36" s="50" t="n"/>
      <c r="K36" s="50" t="n"/>
      <c r="L36" s="51" t="inlineStr">
        <is>
          <t>별도 공지의 픽업 대상과 기간을 비고에 적고 비교. 결제·모집하지 않음</t>
        </is>
      </c>
    </row>
    <row r="37" ht="27" customHeight="1" s="29">
      <c r="A37" s="50" t="n">
        <v>34</v>
      </c>
      <c r="B37" s="50" t="n">
        <v>15</v>
      </c>
      <c r="C37" s="51" t="inlineStr">
        <is>
          <t>이벤트·상점</t>
        </is>
      </c>
      <c r="D37" s="51" t="inlineStr">
        <is>
          <t>캐시 상점</t>
        </is>
      </c>
      <c r="E37" s="51" t="inlineStr">
        <is>
          <t>신규 패키지</t>
        </is>
      </c>
      <c r="F37" s="52" t="inlineStr">
        <is>
          <t>1. 10/15 정기점검 이후, 10/22 10:59 이전</t>
        </is>
      </c>
      <c r="G37" s="52" t="inlineStr">
        <is>
          <t>1. 캐시 상점 → 특별 상품으로 이동한다.
2. 신규 패키지의 판매 여부와 판매 기간을 확인한다.</t>
        </is>
      </c>
      <c r="H37" s="52" t="inlineStr">
        <is>
          <t>1. 신규 패키지가 특별 상품에 표시됨
2. 판매 종료가 10/22 10:59로 표시됨</t>
        </is>
      </c>
      <c r="I37" s="50" t="inlineStr">
        <is>
          <t>Pass</t>
        </is>
      </c>
      <c r="J37" s="50" t="n"/>
      <c r="K37" s="50" t="n"/>
      <c r="L37" s="51" t="inlineStr">
        <is>
          <t>결제하지 않음</t>
        </is>
      </c>
    </row>
    <row r="38" ht="40.5" customHeight="1" s="29">
      <c r="A38" s="50" t="n">
        <v>35</v>
      </c>
      <c r="B38" s="50" t="n">
        <v>17</v>
      </c>
      <c r="C38" s="51" t="inlineStr">
        <is>
          <t>이벤트·상점</t>
        </is>
      </c>
      <c r="D38" s="51" t="inlineStr">
        <is>
          <t>캐시 상점</t>
        </is>
      </c>
      <c r="E38" s="52" t="inlineStr">
        <is>
          <t>[그치지 않는 백귀야행 로비] 패키지</t>
        </is>
      </c>
      <c r="F38" s="52" t="inlineStr">
        <is>
          <t>1. 10/15 정기점검 이후, 10/22 10:59 이전</t>
        </is>
      </c>
      <c r="G38" s="52" t="inlineStr">
        <is>
          <t>1. 캐시 상점 → 특별 상품으로 이동한다.
2. 특별 상품에서 [그치지 않는 백귀야행 로비] 패키지를 찾는다. 
3. 구성품과 판매 기간을 확인한다.</t>
        </is>
      </c>
      <c r="H38" s="52" t="inlineStr">
        <is>
          <t>1. 패키지 구성에 움직이는 로비가 포함되어 있음
2. 판매 종료가 10/22 10:59로 표시됨</t>
        </is>
      </c>
      <c r="I38" s="50" t="inlineStr">
        <is>
          <t>Pass</t>
        </is>
      </c>
      <c r="J38" s="50" t="n"/>
      <c r="K38" s="50" t="n"/>
      <c r="L38" s="51" t="inlineStr">
        <is>
          <t>결제하지 않음</t>
        </is>
      </c>
    </row>
    <row r="39" ht="36" customHeight="1" s="29">
      <c r="A39" s="50" t="n">
        <v>36</v>
      </c>
      <c r="B39" s="50" t="n">
        <v>6</v>
      </c>
      <c r="C39" s="51" t="inlineStr">
        <is>
          <t>밸런스</t>
        </is>
      </c>
      <c r="D39" s="51" t="inlineStr">
        <is>
          <t>차원 대충돌 2.0 BETA [광기] 시즌</t>
        </is>
      </c>
      <c r="E39" s="51" t="inlineStr">
        <is>
          <t>공통 규칙 표시 (냉정 피해 감소)</t>
        </is>
      </c>
      <c r="F39" s="52" t="inlineStr">
        <is>
          <t>1. 차원 대충돌 2.0에 입장할 수 있는 상태</t>
        </is>
      </c>
      <c r="G39" s="52" t="inlineStr">
        <is>
          <t>1. 모험 → 차원 대충돌 2.0에 입장한다.
2. 셰이디의 차원에 입장한다.
3. 좌측에 있는 공통 규칙을 확인한다.</t>
        </is>
      </c>
      <c r="H39" s="51" t="inlineStr">
        <is>
          <t>공통 규칙에 「냉정 사도가 받는 피해량 20% 감소」가 공지와 같은 내용으로 표시됨</t>
        </is>
      </c>
      <c r="I39" s="50" t="inlineStr">
        <is>
          <t>Pass</t>
        </is>
      </c>
      <c r="J39" s="50" t="n"/>
      <c r="K39" s="50" t="n"/>
      <c r="L39" s="51" t="inlineStr">
        <is>
          <t>규칙 표시만 확인. 실제 피해 감소 수치는 패치 전 수치 측정 불가, 피해 공식 비공개로 검증 불가</t>
        </is>
      </c>
    </row>
    <row r="40" ht="51" customHeight="1" s="29">
      <c r="A40" s="50" t="n">
        <v>37</v>
      </c>
      <c r="B40" s="50" t="n">
        <v>3</v>
      </c>
      <c r="C40" s="51" t="inlineStr">
        <is>
          <t>신규 콘텐츠</t>
        </is>
      </c>
      <c r="D40" s="51" t="inlineStr">
        <is>
          <t>셰이디의 차원</t>
        </is>
      </c>
      <c r="E40" s="51" t="inlineStr">
        <is>
          <t>보스 특수 디버프 조건 (기절 1회, 경계)</t>
        </is>
      </c>
      <c r="F40" s="52" t="inlineStr">
        <is>
          <t>1. No 21과 같은 상태</t>
        </is>
      </c>
      <c r="G40" s="52" t="inlineStr">
        <is>
          <t>1. 보스 스테이지에 진입한다.
2. 보스에게 기절을 1회만 부여한다.
3. 보스의 전멸 패턴이 발동하는 시점까지 전투를 진행한다.</t>
        </is>
      </c>
      <c r="H40" s="52" t="inlineStr">
        <is>
          <t>1. 기절 1회만 부여한 경우 전멸 패턴이 파훼되지 않고 그대로 발동함</t>
        </is>
      </c>
      <c r="I40" s="50" t="inlineStr">
        <is>
          <t>Pass</t>
        </is>
      </c>
      <c r="J40" s="50" t="n"/>
      <c r="K40" s="50" t="n"/>
      <c r="L40" s="52" t="inlineStr">
        <is>
          <t>No 21의 경계값 확인. 조건이 정확히 2회인지 검증</t>
        </is>
      </c>
    </row>
    <row r="41" ht="15" customHeight="1" s="29">
      <c r="A41" s="38" t="n"/>
      <c r="B41" s="38" t="n"/>
      <c r="C41" s="32" t="n"/>
      <c r="D41" s="32" t="n"/>
      <c r="E41" s="32" t="n"/>
      <c r="F41" s="32" t="n"/>
      <c r="G41" s="32" t="n"/>
      <c r="H41" s="32" t="n"/>
      <c r="I41" s="38" t="n"/>
      <c r="J41" s="38" t="n"/>
      <c r="K41" s="38" t="n"/>
      <c r="L41" s="32" t="n"/>
    </row>
    <row r="42" ht="15" customHeight="1" s="29">
      <c r="A42" s="38" t="n"/>
      <c r="B42" s="38" t="n"/>
      <c r="C42" s="32" t="n"/>
      <c r="D42" s="32" t="n"/>
      <c r="E42" s="32" t="n"/>
      <c r="F42" s="32" t="n"/>
      <c r="G42" s="32" t="n"/>
      <c r="H42" s="32" t="n"/>
      <c r="I42" s="38" t="n"/>
      <c r="J42" s="38" t="n"/>
      <c r="K42" s="38" t="n"/>
      <c r="L42" s="32" t="n"/>
    </row>
    <row r="43" ht="15" customHeight="1" s="29">
      <c r="A43" s="38" t="n"/>
      <c r="B43" s="38" t="n"/>
      <c r="C43" s="32" t="n"/>
      <c r="D43" s="32" t="n"/>
      <c r="E43" s="32" t="n"/>
      <c r="F43" s="32" t="n"/>
      <c r="G43" s="32" t="n"/>
      <c r="H43" s="32" t="n"/>
      <c r="I43" s="38" t="n"/>
      <c r="J43" s="38" t="n"/>
      <c r="K43" s="38" t="n"/>
      <c r="L43" s="32" t="n"/>
    </row>
    <row r="44" ht="15" customHeight="1" s="29">
      <c r="A44" s="38" t="n"/>
      <c r="B44" s="38" t="n"/>
      <c r="C44" s="32" t="n"/>
      <c r="D44" s="32" t="n"/>
      <c r="E44" s="32" t="n"/>
      <c r="F44" s="32" t="n"/>
      <c r="G44" s="32" t="n"/>
      <c r="H44" s="32" t="n"/>
      <c r="I44" s="38" t="n"/>
      <c r="J44" s="38" t="n"/>
      <c r="K44" s="38" t="n"/>
      <c r="L44" s="32" t="n"/>
    </row>
    <row r="45" ht="15" customHeight="1" s="29">
      <c r="A45" s="38" t="n"/>
      <c r="B45" s="38" t="n"/>
      <c r="C45" s="32" t="n"/>
      <c r="D45" s="32" t="n"/>
      <c r="E45" s="32" t="n"/>
      <c r="F45" s="32" t="n"/>
      <c r="G45" s="32" t="n"/>
      <c r="H45" s="32" t="n"/>
      <c r="I45" s="38" t="n"/>
      <c r="J45" s="38" t="n"/>
      <c r="K45" s="38" t="n"/>
      <c r="L45" s="32" t="n"/>
    </row>
    <row r="46" ht="15" customHeight="1" s="29">
      <c r="A46" s="38" t="n"/>
      <c r="B46" s="38" t="n"/>
      <c r="C46" s="32" t="n"/>
      <c r="D46" s="32" t="n"/>
      <c r="E46" s="32" t="n"/>
      <c r="F46" s="32" t="n"/>
      <c r="G46" s="32" t="n"/>
      <c r="H46" s="32" t="n"/>
      <c r="I46" s="38" t="n"/>
      <c r="J46" s="38" t="n"/>
      <c r="K46" s="38" t="n"/>
      <c r="L46" s="32" t="n"/>
    </row>
    <row r="47" ht="15" customHeight="1" s="29">
      <c r="A47" s="38" t="n"/>
      <c r="B47" s="38" t="n"/>
      <c r="C47" s="32" t="n"/>
      <c r="D47" s="32" t="n"/>
      <c r="E47" s="32" t="n"/>
      <c r="F47" s="32" t="n"/>
      <c r="G47" s="32" t="n"/>
      <c r="H47" s="32" t="n"/>
      <c r="I47" s="38" t="n"/>
      <c r="J47" s="38" t="n"/>
      <c r="K47" s="38" t="n"/>
      <c r="L47" s="32" t="n"/>
    </row>
    <row r="48" ht="15" customHeight="1" s="29">
      <c r="A48" s="38" t="n"/>
      <c r="B48" s="38" t="n"/>
      <c r="C48" s="32" t="n"/>
      <c r="D48" s="32" t="n"/>
      <c r="E48" s="32" t="n"/>
      <c r="F48" s="32" t="n"/>
      <c r="G48" s="32" t="n"/>
      <c r="H48" s="32" t="n"/>
      <c r="I48" s="38" t="n"/>
      <c r="J48" s="38" t="n"/>
      <c r="K48" s="38" t="n"/>
      <c r="L48" s="32" t="n"/>
    </row>
    <row r="49" ht="15" customHeight="1" s="29">
      <c r="A49" s="38" t="n"/>
      <c r="B49" s="38" t="n"/>
      <c r="C49" s="32" t="n"/>
      <c r="D49" s="32" t="n"/>
      <c r="E49" s="32" t="n"/>
      <c r="F49" s="32" t="n"/>
      <c r="G49" s="32" t="n"/>
      <c r="H49" s="32" t="n"/>
      <c r="I49" s="38" t="n"/>
      <c r="J49" s="38" t="n"/>
      <c r="K49" s="38" t="n"/>
      <c r="L49" s="32" t="n"/>
    </row>
    <row r="50" ht="15" customHeight="1" s="29">
      <c r="A50" s="38" t="n"/>
      <c r="B50" s="38" t="n"/>
      <c r="C50" s="32" t="n"/>
      <c r="D50" s="32" t="n"/>
      <c r="E50" s="32" t="n"/>
      <c r="F50" s="32" t="n"/>
      <c r="G50" s="32" t="n"/>
      <c r="H50" s="32" t="n"/>
      <c r="I50" s="38" t="n"/>
      <c r="J50" s="38" t="n"/>
      <c r="K50" s="38" t="n"/>
      <c r="L50" s="32" t="n"/>
    </row>
    <row r="51" ht="15" customHeight="1" s="29">
      <c r="A51" s="38" t="n"/>
      <c r="B51" s="38" t="n"/>
      <c r="C51" s="32" t="n"/>
      <c r="D51" s="32" t="n"/>
      <c r="E51" s="32" t="n"/>
      <c r="F51" s="32" t="n"/>
      <c r="G51" s="32" t="n"/>
      <c r="H51" s="32" t="n"/>
      <c r="I51" s="38" t="n"/>
      <c r="J51" s="38" t="n"/>
      <c r="K51" s="38" t="n"/>
      <c r="L51" s="32" t="n"/>
    </row>
    <row r="52" ht="15" customHeight="1" s="29">
      <c r="A52" s="38" t="n"/>
      <c r="B52" s="38" t="n"/>
      <c r="C52" s="32" t="n"/>
      <c r="D52" s="32" t="n"/>
      <c r="E52" s="32" t="n"/>
      <c r="F52" s="32" t="n"/>
      <c r="G52" s="32" t="n"/>
      <c r="H52" s="32" t="n"/>
      <c r="I52" s="38" t="n"/>
      <c r="J52" s="38" t="n"/>
      <c r="K52" s="38" t="n"/>
      <c r="L52" s="32" t="n"/>
    </row>
    <row r="53" ht="15" customHeight="1" s="29">
      <c r="A53" s="38" t="n"/>
      <c r="B53" s="38" t="n"/>
      <c r="C53" s="32" t="n"/>
      <c r="D53" s="32" t="n"/>
      <c r="E53" s="32" t="n"/>
      <c r="F53" s="32" t="n"/>
      <c r="G53" s="32" t="n"/>
      <c r="H53" s="32" t="n"/>
      <c r="I53" s="38" t="n"/>
      <c r="J53" s="38" t="n"/>
      <c r="K53" s="38" t="n"/>
      <c r="L53" s="32" t="n"/>
    </row>
    <row r="54" ht="15" customHeight="1" s="29">
      <c r="A54" s="38" t="n"/>
      <c r="B54" s="38" t="n"/>
      <c r="C54" s="32" t="n"/>
      <c r="D54" s="32" t="n"/>
      <c r="E54" s="32" t="n"/>
      <c r="F54" s="32" t="n"/>
      <c r="G54" s="32" t="n"/>
      <c r="H54" s="32" t="n"/>
      <c r="I54" s="38" t="n"/>
      <c r="J54" s="38" t="n"/>
      <c r="K54" s="38" t="n"/>
      <c r="L54" s="32" t="n"/>
    </row>
    <row r="55" ht="15" customHeight="1" s="29">
      <c r="A55" s="38" t="n"/>
      <c r="B55" s="38" t="n"/>
      <c r="C55" s="32" t="n"/>
      <c r="D55" s="32" t="n"/>
      <c r="E55" s="32" t="n"/>
      <c r="F55" s="32" t="n"/>
      <c r="G55" s="32" t="n"/>
      <c r="H55" s="32" t="n"/>
      <c r="I55" s="38" t="n"/>
      <c r="J55" s="38" t="n"/>
      <c r="K55" s="38" t="n"/>
      <c r="L55" s="32" t="n"/>
    </row>
    <row r="56" ht="15" customHeight="1" s="29">
      <c r="A56" s="38" t="n"/>
      <c r="B56" s="38" t="n"/>
      <c r="C56" s="32" t="n"/>
      <c r="D56" s="32" t="n"/>
      <c r="E56" s="32" t="n"/>
      <c r="F56" s="32" t="n"/>
      <c r="G56" s="32" t="n"/>
      <c r="H56" s="32" t="n"/>
      <c r="I56" s="38" t="n"/>
      <c r="J56" s="38" t="n"/>
      <c r="K56" s="38" t="n"/>
      <c r="L56" s="32" t="n"/>
    </row>
    <row r="57" ht="15" customHeight="1" s="29">
      <c r="A57" s="38" t="n"/>
      <c r="B57" s="38" t="n"/>
      <c r="C57" s="32" t="n"/>
      <c r="D57" s="32" t="n"/>
      <c r="E57" s="32" t="n"/>
      <c r="F57" s="32" t="n"/>
      <c r="G57" s="32" t="n"/>
      <c r="H57" s="32" t="n"/>
      <c r="I57" s="38" t="n"/>
      <c r="J57" s="38" t="n"/>
      <c r="K57" s="38" t="n"/>
      <c r="L57" s="32" t="n"/>
    </row>
    <row r="58" ht="15" customHeight="1" s="29">
      <c r="A58" s="38" t="n"/>
      <c r="B58" s="38" t="n"/>
      <c r="C58" s="32" t="n"/>
      <c r="D58" s="32" t="n"/>
      <c r="E58" s="32" t="n"/>
      <c r="F58" s="32" t="n"/>
      <c r="G58" s="32" t="n"/>
      <c r="H58" s="32" t="n"/>
      <c r="I58" s="38" t="n"/>
      <c r="J58" s="38" t="n"/>
      <c r="K58" s="38" t="n"/>
      <c r="L58" s="32" t="n"/>
    </row>
    <row r="59" ht="15" customHeight="1" s="29">
      <c r="A59" s="38" t="n"/>
      <c r="B59" s="38" t="n"/>
      <c r="C59" s="32" t="n"/>
      <c r="D59" s="32" t="n"/>
      <c r="E59" s="32" t="n"/>
      <c r="F59" s="32" t="n"/>
      <c r="G59" s="32" t="n"/>
      <c r="H59" s="32" t="n"/>
      <c r="I59" s="38" t="n"/>
      <c r="J59" s="38" t="n"/>
      <c r="K59" s="38" t="n"/>
      <c r="L59" s="32" t="n"/>
    </row>
    <row r="60" ht="15" customHeight="1" s="29">
      <c r="A60" s="38" t="n"/>
      <c r="B60" s="38" t="n"/>
      <c r="C60" s="32" t="n"/>
      <c r="D60" s="32" t="n"/>
      <c r="E60" s="32" t="n"/>
      <c r="F60" s="32" t="n"/>
      <c r="G60" s="32" t="n"/>
      <c r="H60" s="32" t="n"/>
      <c r="I60" s="38" t="n"/>
      <c r="J60" s="38" t="n"/>
      <c r="K60" s="38" t="n"/>
      <c r="L60" s="32" t="n"/>
    </row>
    <row r="61" ht="15" customHeight="1" s="29">
      <c r="A61" s="38" t="n"/>
      <c r="B61" s="38" t="n"/>
      <c r="C61" s="32" t="n"/>
      <c r="D61" s="32" t="n"/>
      <c r="E61" s="32" t="n"/>
      <c r="F61" s="32" t="n"/>
      <c r="G61" s="32" t="n"/>
      <c r="H61" s="32" t="n"/>
      <c r="I61" s="38" t="n"/>
      <c r="J61" s="38" t="n"/>
      <c r="K61" s="38" t="n"/>
      <c r="L61" s="32" t="n"/>
    </row>
    <row r="62" ht="15" customHeight="1" s="29">
      <c r="A62" s="38" t="n"/>
      <c r="B62" s="38" t="n"/>
      <c r="C62" s="32" t="n"/>
      <c r="D62" s="32" t="n"/>
      <c r="E62" s="32" t="n"/>
      <c r="F62" s="32" t="n"/>
      <c r="G62" s="32" t="n"/>
      <c r="H62" s="32" t="n"/>
      <c r="I62" s="38" t="n"/>
      <c r="J62" s="38" t="n"/>
      <c r="K62" s="38" t="n"/>
      <c r="L62" s="32" t="n"/>
    </row>
    <row r="63" ht="15" customHeight="1" s="29">
      <c r="A63" s="38" t="n"/>
      <c r="B63" s="38" t="n"/>
      <c r="C63" s="32" t="n"/>
      <c r="D63" s="32" t="n"/>
      <c r="E63" s="32" t="n"/>
      <c r="F63" s="32" t="n"/>
      <c r="G63" s="32" t="n"/>
      <c r="H63" s="32" t="n"/>
      <c r="I63" s="38" t="n"/>
      <c r="J63" s="38" t="n"/>
      <c r="K63" s="38" t="n"/>
      <c r="L63" s="32" t="n"/>
    </row>
    <row r="64" ht="15" customHeight="1" s="29">
      <c r="A64" s="38" t="n"/>
      <c r="B64" s="38" t="n"/>
      <c r="C64" s="32" t="n"/>
      <c r="D64" s="32" t="n"/>
      <c r="E64" s="32" t="n"/>
      <c r="F64" s="32" t="n"/>
      <c r="G64" s="32" t="n"/>
      <c r="H64" s="32" t="n"/>
      <c r="I64" s="38" t="n"/>
      <c r="J64" s="38" t="n"/>
      <c r="K64" s="38" t="n"/>
      <c r="L64" s="32" t="n"/>
    </row>
    <row r="65" ht="15" customHeight="1" s="29">
      <c r="A65" s="38" t="n"/>
      <c r="B65" s="38" t="n"/>
      <c r="C65" s="32" t="n"/>
      <c r="D65" s="32" t="n"/>
      <c r="E65" s="32" t="n"/>
      <c r="F65" s="32" t="n"/>
      <c r="G65" s="32" t="n"/>
      <c r="H65" s="32" t="n"/>
      <c r="I65" s="38" t="n"/>
      <c r="J65" s="38" t="n"/>
      <c r="K65" s="38" t="n"/>
      <c r="L65" s="32" t="n"/>
    </row>
    <row r="66" ht="15" customHeight="1" s="29">
      <c r="A66" s="38" t="n"/>
      <c r="B66" s="38" t="n"/>
      <c r="C66" s="32" t="n"/>
      <c r="D66" s="32" t="n"/>
      <c r="E66" s="32" t="n"/>
      <c r="F66" s="32" t="n"/>
      <c r="G66" s="32" t="n"/>
      <c r="H66" s="32" t="n"/>
      <c r="I66" s="38" t="n"/>
      <c r="J66" s="38" t="n"/>
      <c r="K66" s="38" t="n"/>
      <c r="L66" s="32" t="n"/>
    </row>
    <row r="67" ht="15" customHeight="1" s="29">
      <c r="A67" s="38" t="n"/>
      <c r="B67" s="38" t="n"/>
      <c r="C67" s="32" t="n"/>
      <c r="D67" s="32" t="n"/>
      <c r="E67" s="32" t="n"/>
      <c r="F67" s="32" t="n"/>
      <c r="G67" s="32" t="n"/>
      <c r="H67" s="32" t="n"/>
      <c r="I67" s="38" t="n"/>
      <c r="J67" s="38" t="n"/>
      <c r="K67" s="38" t="n"/>
      <c r="L67" s="32" t="n"/>
    </row>
    <row r="68" ht="15" customHeight="1" s="29">
      <c r="A68" s="38" t="n"/>
      <c r="B68" s="38" t="n"/>
      <c r="C68" s="32" t="n"/>
      <c r="D68" s="32" t="n"/>
      <c r="E68" s="32" t="n"/>
      <c r="F68" s="32" t="n"/>
      <c r="G68" s="32" t="n"/>
      <c r="H68" s="32" t="n"/>
      <c r="I68" s="38" t="n"/>
      <c r="J68" s="38" t="n"/>
      <c r="K68" s="38" t="n"/>
      <c r="L68" s="32" t="n"/>
    </row>
    <row r="69" ht="15" customHeight="1" s="29">
      <c r="A69" s="38" t="n"/>
      <c r="B69" s="38" t="n"/>
      <c r="C69" s="32" t="n"/>
      <c r="D69" s="32" t="n"/>
      <c r="E69" s="32" t="n"/>
      <c r="F69" s="32" t="n"/>
      <c r="G69" s="32" t="n"/>
      <c r="H69" s="32" t="n"/>
      <c r="I69" s="38" t="n"/>
      <c r="J69" s="38" t="n"/>
      <c r="K69" s="38" t="n"/>
      <c r="L69" s="32" t="n"/>
    </row>
    <row r="70" ht="15" customHeight="1" s="29">
      <c r="A70" s="38" t="n"/>
      <c r="B70" s="38" t="n"/>
      <c r="C70" s="32" t="n"/>
      <c r="D70" s="32" t="n"/>
      <c r="E70" s="32" t="n"/>
      <c r="F70" s="32" t="n"/>
      <c r="G70" s="32" t="n"/>
      <c r="H70" s="32" t="n"/>
      <c r="I70" s="38" t="n"/>
      <c r="J70" s="38" t="n"/>
      <c r="K70" s="38" t="n"/>
      <c r="L70" s="32" t="n"/>
    </row>
    <row r="71" ht="15" customHeight="1" s="29">
      <c r="A71" s="38" t="n"/>
      <c r="B71" s="38" t="n"/>
      <c r="C71" s="32" t="n"/>
      <c r="D71" s="32" t="n"/>
      <c r="E71" s="32" t="n"/>
      <c r="F71" s="32" t="n"/>
      <c r="G71" s="32" t="n"/>
      <c r="H71" s="32" t="n"/>
      <c r="I71" s="38" t="n"/>
      <c r="J71" s="38" t="n"/>
      <c r="K71" s="38" t="n"/>
      <c r="L71" s="32" t="n"/>
    </row>
    <row r="72" ht="15" customHeight="1" s="29">
      <c r="A72" s="38" t="n"/>
      <c r="B72" s="38" t="n"/>
      <c r="C72" s="32" t="n"/>
      <c r="D72" s="32" t="n"/>
      <c r="E72" s="32" t="n"/>
      <c r="F72" s="32" t="n"/>
      <c r="G72" s="32" t="n"/>
      <c r="H72" s="32" t="n"/>
      <c r="I72" s="38" t="n"/>
      <c r="J72" s="38" t="n"/>
      <c r="K72" s="38" t="n"/>
      <c r="L72" s="32" t="n"/>
    </row>
    <row r="73" ht="15" customHeight="1" s="29">
      <c r="A73" s="38" t="n"/>
      <c r="B73" s="38" t="n"/>
      <c r="C73" s="32" t="n"/>
      <c r="D73" s="32" t="n"/>
      <c r="E73" s="32" t="n"/>
      <c r="F73" s="32" t="n"/>
      <c r="G73" s="32" t="n"/>
      <c r="H73" s="32" t="n"/>
      <c r="I73" s="38" t="n"/>
      <c r="J73" s="38" t="n"/>
      <c r="K73" s="38" t="n"/>
      <c r="L73" s="32" t="n"/>
    </row>
    <row r="74" ht="15" customHeight="1" s="29">
      <c r="A74" s="38" t="n"/>
      <c r="B74" s="38" t="n"/>
      <c r="C74" s="32" t="n"/>
      <c r="D74" s="32" t="n"/>
      <c r="E74" s="32" t="n"/>
      <c r="F74" s="32" t="n"/>
      <c r="G74" s="32" t="n"/>
      <c r="H74" s="32" t="n"/>
      <c r="I74" s="38" t="n"/>
      <c r="J74" s="38" t="n"/>
      <c r="K74" s="38" t="n"/>
      <c r="L74" s="32" t="n"/>
    </row>
    <row r="75" ht="15" customHeight="1" s="29">
      <c r="A75" s="38" t="n"/>
      <c r="B75" s="38" t="n"/>
      <c r="C75" s="32" t="n"/>
      <c r="D75" s="32" t="n"/>
      <c r="E75" s="32" t="n"/>
      <c r="F75" s="32" t="n"/>
      <c r="G75" s="32" t="n"/>
      <c r="H75" s="32" t="n"/>
      <c r="I75" s="38" t="n"/>
      <c r="J75" s="38" t="n"/>
      <c r="K75" s="38" t="n"/>
      <c r="L75" s="32" t="n"/>
    </row>
    <row r="76" ht="15" customHeight="1" s="29">
      <c r="A76" s="38" t="n"/>
      <c r="B76" s="38" t="n"/>
      <c r="C76" s="32" t="n"/>
      <c r="D76" s="32" t="n"/>
      <c r="E76" s="32" t="n"/>
      <c r="F76" s="32" t="n"/>
      <c r="G76" s="32" t="n"/>
      <c r="H76" s="32" t="n"/>
      <c r="I76" s="38" t="n"/>
      <c r="J76" s="38" t="n"/>
      <c r="K76" s="38" t="n"/>
      <c r="L76" s="32" t="n"/>
    </row>
    <row r="77" ht="15" customHeight="1" s="29">
      <c r="A77" s="38" t="n"/>
      <c r="B77" s="38" t="n"/>
      <c r="C77" s="32" t="n"/>
      <c r="D77" s="32" t="n"/>
      <c r="E77" s="32" t="n"/>
      <c r="F77" s="32" t="n"/>
      <c r="G77" s="32" t="n"/>
      <c r="H77" s="32" t="n"/>
      <c r="I77" s="38" t="n"/>
      <c r="J77" s="38" t="n"/>
      <c r="K77" s="38" t="n"/>
      <c r="L77" s="32" t="n"/>
    </row>
    <row r="78" ht="15" customHeight="1" s="29">
      <c r="A78" s="38" t="n"/>
      <c r="B78" s="38" t="n"/>
      <c r="C78" s="32" t="n"/>
      <c r="D78" s="32" t="n"/>
      <c r="E78" s="32" t="n"/>
      <c r="F78" s="32" t="n"/>
      <c r="G78" s="32" t="n"/>
      <c r="H78" s="32" t="n"/>
      <c r="I78" s="38" t="n"/>
      <c r="J78" s="38" t="n"/>
      <c r="K78" s="38" t="n"/>
      <c r="L78" s="32" t="n"/>
    </row>
    <row r="79" ht="15" customHeight="1" s="29">
      <c r="A79" s="38" t="n"/>
      <c r="B79" s="38" t="n"/>
      <c r="C79" s="32" t="n"/>
      <c r="D79" s="32" t="n"/>
      <c r="E79" s="32" t="n"/>
      <c r="F79" s="32" t="n"/>
      <c r="G79" s="32" t="n"/>
      <c r="H79" s="32" t="n"/>
      <c r="I79" s="38" t="n"/>
      <c r="J79" s="38" t="n"/>
      <c r="K79" s="38" t="n"/>
      <c r="L79" s="32" t="n"/>
    </row>
    <row r="80" ht="15" customHeight="1" s="29">
      <c r="A80" s="38" t="n"/>
      <c r="B80" s="38" t="n"/>
      <c r="C80" s="32" t="n"/>
      <c r="D80" s="32" t="n"/>
      <c r="E80" s="32" t="n"/>
      <c r="F80" s="32" t="n"/>
      <c r="G80" s="32" t="n"/>
      <c r="H80" s="32" t="n"/>
      <c r="I80" s="38" t="n"/>
      <c r="J80" s="38" t="n"/>
      <c r="K80" s="38" t="n"/>
      <c r="L80" s="32" t="n"/>
    </row>
    <row r="81" ht="15" customHeight="1" s="29">
      <c r="A81" s="38" t="n"/>
      <c r="B81" s="38" t="n"/>
      <c r="C81" s="32" t="n"/>
      <c r="D81" s="32" t="n"/>
      <c r="E81" s="32" t="n"/>
      <c r="F81" s="32" t="n"/>
      <c r="G81" s="32" t="n"/>
      <c r="H81" s="32" t="n"/>
      <c r="I81" s="38" t="n"/>
      <c r="J81" s="38" t="n"/>
      <c r="K81" s="38" t="n"/>
      <c r="L81" s="32" t="n"/>
    </row>
    <row r="82" ht="15" customHeight="1" s="29">
      <c r="A82" s="38" t="n"/>
      <c r="B82" s="38" t="n"/>
      <c r="C82" s="32" t="n"/>
      <c r="D82" s="32" t="n"/>
      <c r="E82" s="32" t="n"/>
      <c r="F82" s="32" t="n"/>
      <c r="G82" s="32" t="n"/>
      <c r="H82" s="32" t="n"/>
      <c r="I82" s="38" t="n"/>
      <c r="J82" s="38" t="n"/>
      <c r="K82" s="38" t="n"/>
      <c r="L82" s="32" t="n"/>
    </row>
    <row r="83" ht="15" customHeight="1" s="29">
      <c r="A83" s="38" t="n"/>
      <c r="B83" s="38" t="n"/>
      <c r="C83" s="32" t="n"/>
      <c r="D83" s="32" t="n"/>
      <c r="E83" s="32" t="n"/>
      <c r="F83" s="32" t="n"/>
      <c r="G83" s="32" t="n"/>
      <c r="H83" s="32" t="n"/>
      <c r="I83" s="38" t="n"/>
      <c r="J83" s="38" t="n"/>
      <c r="K83" s="38" t="n"/>
      <c r="L83" s="32" t="n"/>
    </row>
    <row r="84" ht="15" customHeight="1" s="29">
      <c r="A84" s="38" t="n"/>
      <c r="B84" s="38" t="n"/>
      <c r="C84" s="32" t="n"/>
      <c r="D84" s="32" t="n"/>
      <c r="E84" s="32" t="n"/>
      <c r="F84" s="32" t="n"/>
      <c r="G84" s="32" t="n"/>
      <c r="H84" s="32" t="n"/>
      <c r="I84" s="38" t="n"/>
      <c r="J84" s="38" t="n"/>
      <c r="K84" s="38" t="n"/>
      <c r="L84" s="32" t="n"/>
    </row>
    <row r="85" ht="15" customHeight="1" s="29">
      <c r="A85" s="38" t="n"/>
      <c r="B85" s="38" t="n"/>
      <c r="C85" s="32" t="n"/>
      <c r="D85" s="32" t="n"/>
      <c r="E85" s="32" t="n"/>
      <c r="F85" s="32" t="n"/>
      <c r="G85" s="32" t="n"/>
      <c r="H85" s="32" t="n"/>
      <c r="I85" s="38" t="n"/>
      <c r="J85" s="38" t="n"/>
      <c r="K85" s="38" t="n"/>
      <c r="L85" s="32" t="n"/>
    </row>
    <row r="86" ht="15" customHeight="1" s="29">
      <c r="A86" s="38" t="n"/>
      <c r="B86" s="38" t="n"/>
      <c r="C86" s="32" t="n"/>
      <c r="D86" s="32" t="n"/>
      <c r="E86" s="32" t="n"/>
      <c r="F86" s="32" t="n"/>
      <c r="G86" s="32" t="n"/>
      <c r="H86" s="32" t="n"/>
      <c r="I86" s="38" t="n"/>
      <c r="J86" s="38" t="n"/>
      <c r="K86" s="38" t="n"/>
      <c r="L86" s="32" t="n"/>
    </row>
    <row r="87" ht="15" customHeight="1" s="29">
      <c r="A87" s="38" t="n"/>
      <c r="B87" s="38" t="n"/>
      <c r="C87" s="32" t="n"/>
      <c r="D87" s="32" t="n"/>
      <c r="E87" s="32" t="n"/>
      <c r="F87" s="32" t="n"/>
      <c r="G87" s="32" t="n"/>
      <c r="H87" s="32" t="n"/>
      <c r="I87" s="38" t="n"/>
      <c r="J87" s="38" t="n"/>
      <c r="K87" s="38" t="n"/>
      <c r="L87" s="32" t="n"/>
    </row>
    <row r="88" ht="15" customHeight="1" s="29">
      <c r="A88" s="38" t="n"/>
      <c r="B88" s="38" t="n"/>
      <c r="C88" s="32" t="n"/>
      <c r="D88" s="32" t="n"/>
      <c r="E88" s="32" t="n"/>
      <c r="F88" s="32" t="n"/>
      <c r="G88" s="32" t="n"/>
      <c r="H88" s="32" t="n"/>
      <c r="I88" s="38" t="n"/>
      <c r="J88" s="38" t="n"/>
      <c r="K88" s="38" t="n"/>
      <c r="L88" s="32" t="n"/>
    </row>
    <row r="89" ht="15" customHeight="1" s="29">
      <c r="A89" s="38" t="n"/>
      <c r="B89" s="38" t="n"/>
      <c r="C89" s="32" t="n"/>
      <c r="D89" s="32" t="n"/>
      <c r="E89" s="32" t="n"/>
      <c r="F89" s="32" t="n"/>
      <c r="G89" s="32" t="n"/>
      <c r="H89" s="32" t="n"/>
      <c r="I89" s="38" t="n"/>
      <c r="J89" s="38" t="n"/>
      <c r="K89" s="38" t="n"/>
      <c r="L89" s="32" t="n"/>
    </row>
    <row r="90" ht="15" customHeight="1" s="29">
      <c r="A90" s="38" t="n"/>
      <c r="B90" s="38" t="n"/>
      <c r="C90" s="32" t="n"/>
      <c r="D90" s="32" t="n"/>
      <c r="E90" s="32" t="n"/>
      <c r="F90" s="32" t="n"/>
      <c r="G90" s="32" t="n"/>
      <c r="H90" s="32" t="n"/>
      <c r="I90" s="38" t="n"/>
      <c r="J90" s="38" t="n"/>
      <c r="K90" s="38" t="n"/>
      <c r="L90" s="32" t="n"/>
    </row>
    <row r="91" ht="15" customHeight="1" s="29">
      <c r="A91" s="38" t="n"/>
      <c r="B91" s="38" t="n"/>
      <c r="C91" s="32" t="n"/>
      <c r="D91" s="32" t="n"/>
      <c r="E91" s="32" t="n"/>
      <c r="F91" s="32" t="n"/>
      <c r="G91" s="32" t="n"/>
      <c r="H91" s="32" t="n"/>
      <c r="I91" s="38" t="n"/>
      <c r="J91" s="38" t="n"/>
      <c r="K91" s="38" t="n"/>
      <c r="L91" s="32" t="n"/>
    </row>
    <row r="92" ht="15" customHeight="1" s="29">
      <c r="A92" s="38" t="n"/>
      <c r="B92" s="38" t="n"/>
      <c r="C92" s="32" t="n"/>
      <c r="D92" s="32" t="n"/>
      <c r="E92" s="32" t="n"/>
      <c r="F92" s="32" t="n"/>
      <c r="G92" s="32" t="n"/>
      <c r="H92" s="32" t="n"/>
      <c r="I92" s="38" t="n"/>
      <c r="J92" s="38" t="n"/>
      <c r="K92" s="38" t="n"/>
      <c r="L92" s="32" t="n"/>
    </row>
    <row r="93" ht="15" customHeight="1" s="29">
      <c r="A93" s="38" t="n"/>
      <c r="B93" s="38" t="n"/>
      <c r="C93" s="32" t="n"/>
      <c r="D93" s="32" t="n"/>
      <c r="E93" s="32" t="n"/>
      <c r="F93" s="32" t="n"/>
      <c r="G93" s="32" t="n"/>
      <c r="H93" s="32" t="n"/>
      <c r="I93" s="38" t="n"/>
      <c r="J93" s="38" t="n"/>
      <c r="K93" s="38" t="n"/>
      <c r="L93" s="32" t="n"/>
    </row>
    <row r="94" ht="15" customHeight="1" s="29">
      <c r="A94" s="38" t="n"/>
      <c r="B94" s="38" t="n"/>
      <c r="C94" s="32" t="n"/>
      <c r="D94" s="32" t="n"/>
      <c r="E94" s="32" t="n"/>
      <c r="F94" s="32" t="n"/>
      <c r="G94" s="32" t="n"/>
      <c r="H94" s="32" t="n"/>
      <c r="I94" s="38" t="n"/>
      <c r="J94" s="38" t="n"/>
      <c r="K94" s="38" t="n"/>
      <c r="L94" s="32" t="n"/>
    </row>
    <row r="95" ht="15" customHeight="1" s="29">
      <c r="A95" s="38" t="n"/>
      <c r="B95" s="38" t="n"/>
      <c r="C95" s="32" t="n"/>
      <c r="D95" s="32" t="n"/>
      <c r="E95" s="32" t="n"/>
      <c r="F95" s="32" t="n"/>
      <c r="G95" s="32" t="n"/>
      <c r="H95" s="32" t="n"/>
      <c r="I95" s="38" t="n"/>
      <c r="J95" s="38" t="n"/>
      <c r="K95" s="38" t="n"/>
      <c r="L95" s="32" t="n"/>
    </row>
    <row r="96" ht="15" customHeight="1" s="29">
      <c r="A96" s="38" t="n"/>
      <c r="B96" s="38" t="n"/>
      <c r="C96" s="32" t="n"/>
      <c r="D96" s="32" t="n"/>
      <c r="E96" s="32" t="n"/>
      <c r="F96" s="32" t="n"/>
      <c r="G96" s="32" t="n"/>
      <c r="H96" s="32" t="n"/>
      <c r="I96" s="38" t="n"/>
      <c r="J96" s="38" t="n"/>
      <c r="K96" s="38" t="n"/>
      <c r="L96" s="32" t="n"/>
    </row>
    <row r="97" ht="15" customHeight="1" s="29">
      <c r="A97" s="38" t="n"/>
      <c r="B97" s="38" t="n"/>
      <c r="C97" s="32" t="n"/>
      <c r="D97" s="32" t="n"/>
      <c r="E97" s="32" t="n"/>
      <c r="F97" s="32" t="n"/>
      <c r="G97" s="32" t="n"/>
      <c r="H97" s="32" t="n"/>
      <c r="I97" s="38" t="n"/>
      <c r="J97" s="38" t="n"/>
      <c r="K97" s="38" t="n"/>
      <c r="L97" s="32" t="n"/>
    </row>
    <row r="98" ht="15" customHeight="1" s="29">
      <c r="A98" s="38" t="n"/>
      <c r="B98" s="38" t="n"/>
      <c r="C98" s="32" t="n"/>
      <c r="D98" s="32" t="n"/>
      <c r="E98" s="32" t="n"/>
      <c r="F98" s="32" t="n"/>
      <c r="G98" s="32" t="n"/>
      <c r="H98" s="32" t="n"/>
      <c r="I98" s="38" t="n"/>
      <c r="J98" s="38" t="n"/>
      <c r="K98" s="38" t="n"/>
      <c r="L98" s="32" t="n"/>
    </row>
    <row r="99" ht="15" customHeight="1" s="29">
      <c r="A99" s="38" t="n"/>
      <c r="B99" s="38" t="n"/>
      <c r="C99" s="32" t="n"/>
      <c r="D99" s="32" t="n"/>
      <c r="E99" s="32" t="n"/>
      <c r="F99" s="32" t="n"/>
      <c r="G99" s="32" t="n"/>
      <c r="H99" s="32" t="n"/>
      <c r="I99" s="38" t="n"/>
      <c r="J99" s="38" t="n"/>
      <c r="K99" s="38" t="n"/>
      <c r="L99" s="32" t="n"/>
    </row>
    <row r="100" ht="15" customHeight="1" s="29">
      <c r="A100" s="38" t="n"/>
      <c r="B100" s="38" t="n"/>
      <c r="C100" s="32" t="n"/>
      <c r="D100" s="32" t="n"/>
      <c r="E100" s="32" t="n"/>
      <c r="F100" s="32" t="n"/>
      <c r="G100" s="32" t="n"/>
      <c r="H100" s="32" t="n"/>
      <c r="I100" s="38" t="n"/>
      <c r="J100" s="38" t="n"/>
      <c r="K100" s="38" t="n"/>
      <c r="L100" s="32" t="n"/>
    </row>
    <row r="101" ht="15" customHeight="1" s="29">
      <c r="A101" s="38" t="n"/>
      <c r="B101" s="38" t="n"/>
      <c r="C101" s="32" t="n"/>
      <c r="D101" s="32" t="n"/>
      <c r="E101" s="32" t="n"/>
      <c r="F101" s="32" t="n"/>
      <c r="G101" s="32" t="n"/>
      <c r="H101" s="32" t="n"/>
      <c r="I101" s="38" t="n"/>
      <c r="J101" s="38" t="n"/>
      <c r="K101" s="38" t="n"/>
      <c r="L101" s="32" t="n"/>
    </row>
    <row r="102" ht="15" customHeight="1" s="29">
      <c r="A102" s="38" t="n"/>
      <c r="B102" s="38" t="n"/>
      <c r="C102" s="32" t="n"/>
      <c r="D102" s="32" t="n"/>
      <c r="E102" s="32" t="n"/>
      <c r="F102" s="32" t="n"/>
      <c r="G102" s="32" t="n"/>
      <c r="H102" s="32" t="n"/>
      <c r="I102" s="38" t="n"/>
      <c r="J102" s="38" t="n"/>
      <c r="K102" s="38" t="n"/>
      <c r="L102" s="32" t="n"/>
    </row>
    <row r="103" ht="15" customHeight="1" s="29">
      <c r="A103" s="38" t="n"/>
      <c r="B103" s="38" t="n"/>
      <c r="C103" s="32" t="n"/>
      <c r="D103" s="32" t="n"/>
      <c r="E103" s="32" t="n"/>
      <c r="F103" s="32" t="n"/>
      <c r="G103" s="32" t="n"/>
      <c r="H103" s="32" t="n"/>
      <c r="I103" s="38" t="n"/>
      <c r="J103" s="38" t="n"/>
      <c r="K103" s="38" t="n"/>
      <c r="L103" s="32" t="n"/>
    </row>
    <row r="104" ht="15" customHeight="1" s="29">
      <c r="A104" s="38" t="n"/>
      <c r="B104" s="38" t="n"/>
      <c r="C104" s="32" t="n"/>
      <c r="D104" s="32" t="n"/>
      <c r="E104" s="32" t="n"/>
      <c r="F104" s="32" t="n"/>
      <c r="G104" s="32" t="n"/>
      <c r="H104" s="32" t="n"/>
      <c r="I104" s="38" t="n"/>
      <c r="J104" s="38" t="n"/>
      <c r="K104" s="38" t="n"/>
      <c r="L104" s="32" t="n"/>
    </row>
    <row r="105" ht="15" customHeight="1" s="29">
      <c r="A105" s="38" t="n"/>
      <c r="B105" s="38" t="n"/>
      <c r="C105" s="32" t="n"/>
      <c r="D105" s="32" t="n"/>
      <c r="E105" s="32" t="n"/>
      <c r="F105" s="32" t="n"/>
      <c r="G105" s="32" t="n"/>
      <c r="H105" s="32" t="n"/>
      <c r="I105" s="38" t="n"/>
      <c r="J105" s="38" t="n"/>
      <c r="K105" s="38" t="n"/>
      <c r="L105" s="32" t="n"/>
    </row>
    <row r="106" ht="15" customHeight="1" s="29">
      <c r="A106" s="38" t="n"/>
      <c r="B106" s="38" t="n"/>
      <c r="C106" s="32" t="n"/>
      <c r="D106" s="32" t="n"/>
      <c r="E106" s="32" t="n"/>
      <c r="F106" s="32" t="n"/>
      <c r="G106" s="32" t="n"/>
      <c r="H106" s="32" t="n"/>
      <c r="I106" s="38" t="n"/>
      <c r="J106" s="38" t="n"/>
      <c r="K106" s="38" t="n"/>
      <c r="L106" s="32" t="n"/>
    </row>
    <row r="107" ht="15" customHeight="1" s="29">
      <c r="A107" s="38" t="n"/>
      <c r="B107" s="38" t="n"/>
      <c r="C107" s="32" t="n"/>
      <c r="D107" s="32" t="n"/>
      <c r="E107" s="32" t="n"/>
      <c r="F107" s="32" t="n"/>
      <c r="G107" s="32" t="n"/>
      <c r="H107" s="32" t="n"/>
      <c r="I107" s="38" t="n"/>
      <c r="J107" s="38" t="n"/>
      <c r="K107" s="38" t="n"/>
      <c r="L107" s="32" t="n"/>
    </row>
    <row r="108" ht="15" customHeight="1" s="29">
      <c r="A108" s="38" t="n"/>
      <c r="B108" s="38" t="n"/>
      <c r="C108" s="32" t="n"/>
      <c r="D108" s="32" t="n"/>
      <c r="E108" s="32" t="n"/>
      <c r="F108" s="32" t="n"/>
      <c r="G108" s="32" t="n"/>
      <c r="H108" s="32" t="n"/>
      <c r="I108" s="38" t="n"/>
      <c r="J108" s="38" t="n"/>
      <c r="K108" s="38" t="n"/>
      <c r="L108" s="32" t="n"/>
    </row>
    <row r="109" ht="15" customHeight="1" s="29">
      <c r="A109" s="38" t="n"/>
      <c r="B109" s="38" t="n"/>
      <c r="C109" s="32" t="n"/>
      <c r="D109" s="32" t="n"/>
      <c r="E109" s="32" t="n"/>
      <c r="F109" s="32" t="n"/>
      <c r="G109" s="32" t="n"/>
      <c r="H109" s="32" t="n"/>
      <c r="I109" s="38" t="n"/>
      <c r="J109" s="38" t="n"/>
      <c r="K109" s="38" t="n"/>
      <c r="L109" s="32" t="n"/>
    </row>
    <row r="110" ht="15" customHeight="1" s="29">
      <c r="A110" s="38" t="n"/>
      <c r="B110" s="38" t="n"/>
      <c r="C110" s="32" t="n"/>
      <c r="D110" s="32" t="n"/>
      <c r="E110" s="32" t="n"/>
      <c r="F110" s="32" t="n"/>
      <c r="G110" s="32" t="n"/>
      <c r="H110" s="32" t="n"/>
      <c r="I110" s="38" t="n"/>
      <c r="J110" s="38" t="n"/>
      <c r="K110" s="38" t="n"/>
      <c r="L110" s="32" t="n"/>
    </row>
    <row r="111" ht="15" customHeight="1" s="29">
      <c r="A111" s="38" t="n"/>
      <c r="B111" s="38" t="n"/>
      <c r="C111" s="32" t="n"/>
      <c r="D111" s="32" t="n"/>
      <c r="E111" s="32" t="n"/>
      <c r="F111" s="32" t="n"/>
      <c r="G111" s="32" t="n"/>
      <c r="H111" s="32" t="n"/>
      <c r="I111" s="38" t="n"/>
      <c r="J111" s="38" t="n"/>
      <c r="K111" s="38" t="n"/>
      <c r="L111" s="32" t="n"/>
    </row>
    <row r="112" ht="15" customHeight="1" s="29">
      <c r="A112" s="38" t="n"/>
      <c r="B112" s="38" t="n"/>
      <c r="C112" s="32" t="n"/>
      <c r="D112" s="32" t="n"/>
      <c r="E112" s="32" t="n"/>
      <c r="F112" s="32" t="n"/>
      <c r="G112" s="32" t="n"/>
      <c r="H112" s="32" t="n"/>
      <c r="I112" s="38" t="n"/>
      <c r="J112" s="38" t="n"/>
      <c r="K112" s="38" t="n"/>
      <c r="L112" s="32" t="n"/>
    </row>
    <row r="113" ht="15" customHeight="1" s="29">
      <c r="A113" s="38" t="n"/>
      <c r="B113" s="38" t="n"/>
      <c r="C113" s="32" t="n"/>
      <c r="D113" s="32" t="n"/>
      <c r="E113" s="32" t="n"/>
      <c r="F113" s="32" t="n"/>
      <c r="G113" s="32" t="n"/>
      <c r="H113" s="32" t="n"/>
      <c r="I113" s="38" t="n"/>
      <c r="J113" s="38" t="n"/>
      <c r="K113" s="38" t="n"/>
      <c r="L113" s="32" t="n"/>
    </row>
    <row r="114" ht="15" customHeight="1" s="29">
      <c r="A114" s="38" t="n"/>
      <c r="B114" s="38" t="n"/>
      <c r="C114" s="32" t="n"/>
      <c r="D114" s="32" t="n"/>
      <c r="E114" s="32" t="n"/>
      <c r="F114" s="32" t="n"/>
      <c r="G114" s="32" t="n"/>
      <c r="H114" s="32" t="n"/>
      <c r="I114" s="38" t="n"/>
      <c r="J114" s="38" t="n"/>
      <c r="K114" s="38" t="n"/>
      <c r="L114" s="32" t="n"/>
    </row>
    <row r="115" ht="15" customHeight="1" s="29">
      <c r="A115" s="38" t="n"/>
      <c r="B115" s="38" t="n"/>
      <c r="C115" s="32" t="n"/>
      <c r="D115" s="32" t="n"/>
      <c r="E115" s="32" t="n"/>
      <c r="F115" s="32" t="n"/>
      <c r="G115" s="32" t="n"/>
      <c r="H115" s="32" t="n"/>
      <c r="I115" s="38" t="n"/>
      <c r="J115" s="38" t="n"/>
      <c r="K115" s="38" t="n"/>
      <c r="L115" s="32" t="n"/>
    </row>
    <row r="116" ht="15" customHeight="1" s="29">
      <c r="A116" s="38" t="n"/>
      <c r="B116" s="38" t="n"/>
      <c r="C116" s="32" t="n"/>
      <c r="D116" s="32" t="n"/>
      <c r="E116" s="32" t="n"/>
      <c r="F116" s="32" t="n"/>
      <c r="G116" s="32" t="n"/>
      <c r="H116" s="32" t="n"/>
      <c r="I116" s="38" t="n"/>
      <c r="J116" s="38" t="n"/>
      <c r="K116" s="38" t="n"/>
      <c r="L116" s="32" t="n"/>
    </row>
    <row r="117" ht="15" customHeight="1" s="29">
      <c r="A117" s="38" t="n"/>
      <c r="B117" s="38" t="n"/>
      <c r="C117" s="32" t="n"/>
      <c r="D117" s="32" t="n"/>
      <c r="E117" s="32" t="n"/>
      <c r="F117" s="32" t="n"/>
      <c r="G117" s="32" t="n"/>
      <c r="H117" s="32" t="n"/>
      <c r="I117" s="38" t="n"/>
      <c r="J117" s="38" t="n"/>
      <c r="K117" s="38" t="n"/>
      <c r="L117" s="32" t="n"/>
    </row>
    <row r="118" ht="15" customHeight="1" s="29">
      <c r="A118" s="38" t="n"/>
      <c r="B118" s="38" t="n"/>
      <c r="C118" s="32" t="n"/>
      <c r="D118" s="32" t="n"/>
      <c r="E118" s="32" t="n"/>
      <c r="F118" s="32" t="n"/>
      <c r="G118" s="32" t="n"/>
      <c r="H118" s="32" t="n"/>
      <c r="I118" s="38" t="n"/>
      <c r="J118" s="38" t="n"/>
      <c r="K118" s="38" t="n"/>
      <c r="L118" s="32" t="n"/>
    </row>
    <row r="119" ht="15" customHeight="1" s="29">
      <c r="A119" s="38" t="n"/>
      <c r="B119" s="38" t="n"/>
      <c r="C119" s="32" t="n"/>
      <c r="D119" s="32" t="n"/>
      <c r="E119" s="32" t="n"/>
      <c r="F119" s="32" t="n"/>
      <c r="G119" s="32" t="n"/>
      <c r="H119" s="32" t="n"/>
      <c r="I119" s="38" t="n"/>
      <c r="J119" s="38" t="n"/>
      <c r="K119" s="38" t="n"/>
      <c r="L119" s="32" t="n"/>
    </row>
    <row r="120" ht="15" customHeight="1" s="29">
      <c r="A120" s="38" t="n"/>
      <c r="B120" s="38" t="n"/>
      <c r="C120" s="32" t="n"/>
      <c r="D120" s="32" t="n"/>
      <c r="E120" s="32" t="n"/>
      <c r="F120" s="32" t="n"/>
      <c r="G120" s="32" t="n"/>
      <c r="H120" s="32" t="n"/>
      <c r="I120" s="38" t="n"/>
      <c r="J120" s="38" t="n"/>
      <c r="K120" s="38" t="n"/>
      <c r="L120" s="32" t="n"/>
    </row>
    <row r="121" ht="15" customHeight="1" s="29">
      <c r="A121" s="38" t="n"/>
      <c r="B121" s="38" t="n"/>
      <c r="C121" s="32" t="n"/>
      <c r="D121" s="32" t="n"/>
      <c r="E121" s="32" t="n"/>
      <c r="F121" s="32" t="n"/>
      <c r="G121" s="32" t="n"/>
      <c r="H121" s="32" t="n"/>
      <c r="I121" s="38" t="n"/>
      <c r="J121" s="38" t="n"/>
      <c r="K121" s="38" t="n"/>
      <c r="L121" s="32" t="n"/>
    </row>
    <row r="122" ht="15" customHeight="1" s="29">
      <c r="A122" s="38" t="n"/>
      <c r="B122" s="38" t="n"/>
      <c r="C122" s="32" t="n"/>
      <c r="D122" s="32" t="n"/>
      <c r="E122" s="32" t="n"/>
      <c r="F122" s="32" t="n"/>
      <c r="G122" s="32" t="n"/>
      <c r="H122" s="32" t="n"/>
      <c r="I122" s="38" t="n"/>
      <c r="J122" s="38" t="n"/>
      <c r="K122" s="38" t="n"/>
      <c r="L122" s="32" t="n"/>
    </row>
    <row r="123" ht="15" customHeight="1" s="29">
      <c r="A123" s="38" t="n"/>
      <c r="B123" s="38" t="n"/>
      <c r="C123" s="32" t="n"/>
      <c r="D123" s="32" t="n"/>
      <c r="E123" s="32" t="n"/>
      <c r="F123" s="32" t="n"/>
      <c r="G123" s="32" t="n"/>
      <c r="H123" s="32" t="n"/>
      <c r="I123" s="38" t="n"/>
      <c r="J123" s="38" t="n"/>
      <c r="K123" s="38" t="n"/>
      <c r="L123" s="32" t="n"/>
    </row>
  </sheetData>
  <mergeCells count="2">
    <mergeCell ref="A2:L2"/>
    <mergeCell ref="A1:L1"/>
  </mergeCells>
  <conditionalFormatting sqref="I8:J8">
    <cfRule type="cellIs" rank="0" priority="2" equalAverage="0" operator="equal" aboveAverage="0" dxfId="0" text="" percent="0" bottom="0">
      <formula>"Pass"</formula>
    </cfRule>
    <cfRule type="cellIs" rank="0" priority="3" equalAverage="0" operator="equal" aboveAverage="0" dxfId="1" text="" percent="0" bottom="0">
      <formula>"Fail"</formula>
    </cfRule>
    <cfRule type="cellIs" rank="0" priority="4" equalAverage="0" operator="equal" aboveAverage="0" dxfId="2" text="" percent="0" bottom="0">
      <formula>"Block"</formula>
    </cfRule>
    <cfRule type="cellIs" rank="0" priority="5" equalAverage="0" operator="equal" aboveAverage="0" dxfId="3" text="" percent="0" bottom="0">
      <formula>"N/A"</formula>
    </cfRule>
    <cfRule type="cellIs" rank="0" priority="6" equalAverage="0" operator="equal" aboveAverage="0" dxfId="4" text="" percent="0" bottom="0">
      <formula>"N/T"</formula>
    </cfRule>
  </conditionalFormatting>
  <conditionalFormatting sqref="I4:J7 I9:J123">
    <cfRule type="cellIs" rank="0" priority="7" equalAverage="0" operator="equal" aboveAverage="0" dxfId="0" text="" percent="0" bottom="0">
      <formula>"Pass"</formula>
    </cfRule>
    <cfRule type="cellIs" rank="0" priority="8" equalAverage="0" operator="equal" aboveAverage="0" dxfId="1" text="" percent="0" bottom="0">
      <formula>"Fail"</formula>
    </cfRule>
    <cfRule type="cellIs" rank="0" priority="9" equalAverage="0" operator="equal" aboveAverage="0" dxfId="2" text="" percent="0" bottom="0">
      <formula>"Block"</formula>
    </cfRule>
    <cfRule type="cellIs" rank="0" priority="10" equalAverage="0" operator="equal" aboveAverage="0" dxfId="3" text="" percent="0" bottom="0">
      <formula>"N/A"</formula>
    </cfRule>
    <cfRule type="cellIs" rank="0" priority="11" equalAverage="0" operator="equal" aboveAverage="0" dxfId="4" text="" percent="0" bottom="0">
      <formula>"N/T"</formula>
    </cfRule>
  </conditionalFormatting>
  <dataValidations count="1">
    <dataValidation sqref="I4:J123" showDropDown="0" showInputMessage="0" showErrorMessage="0" allowBlank="1" type="list" errorStyle="stop" operator="between">
      <formula1>"Pass,Fail,Block,N/A,N/T"</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J33"/>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C9" activeCellId="0" sqref="C9"/>
    </sheetView>
  </sheetViews>
  <sheetFormatPr baseColWidth="8" defaultColWidth="8.71484375" defaultRowHeight="15" zeroHeight="0" outlineLevelRow="0"/>
  <cols>
    <col width="11" customWidth="1" style="28" min="1" max="2"/>
    <col width="64.70999999999999" customWidth="1" style="28" min="3" max="3"/>
    <col width="11" customWidth="1" style="28" min="4" max="4"/>
    <col width="10" customWidth="1" style="28" min="5" max="5"/>
    <col width="9" customWidth="1" style="28" min="6" max="7"/>
    <col width="24" customWidth="1" style="28" min="8" max="8"/>
    <col width="11" customWidth="1" style="28" min="9" max="9"/>
    <col width="30" customWidth="1" style="28" min="10" max="10"/>
  </cols>
  <sheetData>
    <row r="1" ht="30" customHeight="1" s="29">
      <c r="A1" s="43" t="inlineStr">
        <is>
          <t>이슈 목록 (Jira 연동)</t>
        </is>
      </c>
    </row>
    <row r="2" ht="30" customHeight="1" s="29">
      <c r="A2" s="55" t="inlineStr">
        <is>
          <t>Fail이 나오면 Jira에 등록하고 키를 적습니다. 상용 게임이라 직접 수정할 수 없으므로 상태는 등록 → 재현 확인 → 제보 → 다음 패치에서 수정 확인 → 종료 순서로 관리합니다.</t>
        </is>
      </c>
    </row>
    <row r="3" ht="15" customHeight="1" s="29">
      <c r="A3" s="37" t="inlineStr">
        <is>
          <t>ID</t>
        </is>
      </c>
      <c r="B3" s="37" t="inlineStr">
        <is>
          <t>Jira 키</t>
        </is>
      </c>
      <c r="C3" s="36" t="inlineStr">
        <is>
          <t>제목</t>
        </is>
      </c>
      <c r="D3" s="36" t="inlineStr">
        <is>
          <t>유형</t>
        </is>
      </c>
      <c r="E3" s="36" t="inlineStr">
        <is>
          <t>심각도</t>
        </is>
      </c>
      <c r="F3" s="36" t="inlineStr">
        <is>
          <t>재현율</t>
        </is>
      </c>
      <c r="G3" s="36" t="inlineStr">
        <is>
          <t>관련 TC</t>
        </is>
      </c>
      <c r="H3" s="36" t="inlineStr">
        <is>
          <t>환경</t>
        </is>
      </c>
      <c r="I3" s="36" t="inlineStr">
        <is>
          <t>상태</t>
        </is>
      </c>
      <c r="J3" s="36" t="inlineStr">
        <is>
          <t>비고</t>
        </is>
      </c>
    </row>
    <row r="4" ht="27" customHeight="1" s="29">
      <c r="A4" s="38" t="inlineStr">
        <is>
          <t>ISSUE-001</t>
        </is>
      </c>
      <c r="B4" s="38" t="inlineStr">
        <is>
          <t>TRK-1</t>
        </is>
      </c>
      <c r="C4" s="32" t="inlineStr">
        <is>
          <t>[차원 대충돌] 셰이디의 차원에서 이면세계 사용 사도를 편성할 때, 배치 줄이 가득 차 있으면 사용 중 사유 대신 자리 부족 문구가 표시됨</t>
        </is>
      </c>
      <c r="D4" s="56" t="inlineStr">
        <is>
          <t>개선 제안</t>
        </is>
      </c>
      <c r="E4" s="38" t="inlineStr">
        <is>
          <t>Trivial</t>
        </is>
      </c>
      <c r="F4" s="56" t="inlineStr">
        <is>
          <t>항상</t>
        </is>
      </c>
      <c r="G4" s="56" t="n">
        <v>11</v>
      </c>
      <c r="H4" s="32" t="inlineStr">
        <is>
          <t>iPhone 14 / iOS 18.7.8 / 앱 1.6.61</t>
        </is>
      </c>
      <c r="I4" s="56" t="inlineStr">
        <is>
          <t>제보</t>
        </is>
      </c>
      <c r="J4" s="35" t="inlineStr">
        <is>
          <t>편성은 정상적으로 막힘(규칙 위반 아님). 안내 문구 검사 순서 문제. 줄에 빈자리가 있으면 사용 중 문구가 정상 표시됨(TC 10)
2026-10-18 고객센터 1:1 문의(건의/제안)로 제보</t>
        </is>
      </c>
    </row>
    <row r="5" ht="27" customHeight="1" s="29">
      <c r="A5" s="38" t="inlineStr">
        <is>
          <t>ISSUE-002</t>
        </is>
      </c>
      <c r="B5" s="38" t="inlineStr">
        <is>
          <t>TRK-2</t>
        </is>
      </c>
      <c r="C5" s="32" t="inlineStr">
        <is>
          <t>[차원 대충돌] 셰이디의 차원 보스 특수 디버프 조건(기절 2회 부여 시 전멸 패턴 파훼)의 게임 내 안내 여부 확인 요청</t>
        </is>
      </c>
      <c r="D5" s="56" t="inlineStr">
        <is>
          <t>확인 요청</t>
        </is>
      </c>
      <c r="E5" s="38" t="inlineStr">
        <is>
          <t>Trivial</t>
        </is>
      </c>
      <c r="F5" s="56" t="inlineStr">
        <is>
          <t>항상</t>
        </is>
      </c>
      <c r="G5" s="56" t="n">
        <v>21</v>
      </c>
      <c r="H5" s="32" t="inlineStr">
        <is>
          <t>iPhone 14 / iOS 18.7.8 / 앱 1.6.61</t>
        </is>
      </c>
      <c r="I5" s="56" t="inlineStr">
        <is>
          <t>등록</t>
        </is>
      </c>
      <c r="J5" s="35" t="inlineStr">
        <is>
          <t>공지에는 조건 충족 시 이점이 있다고 명시되어 있으나, 보스 스테이지 선택·편성·전투 화면에서 조건을 확인할 수 없고 외부 검색으로만 확인됨. 플레이어가 직접 알아내는 발견형 요소로 의도된 것일 수 있어 결함으로 단정하지 않고 의도 여부 확인을 요청. 의도된 숨김이라면 힌트 수준의 안내 제공을 제안</t>
        </is>
      </c>
    </row>
    <row r="6" ht="15" customHeight="1" s="29">
      <c r="A6" s="56" t="n"/>
      <c r="B6" s="56" t="n"/>
      <c r="C6" s="32" t="n"/>
      <c r="D6" s="56" t="n"/>
      <c r="E6" s="38" t="n"/>
      <c r="F6" s="56" t="n"/>
      <c r="G6" s="56" t="n"/>
      <c r="H6" s="32" t="n"/>
      <c r="I6" s="56" t="n"/>
      <c r="J6" s="32" t="n"/>
    </row>
    <row r="7" ht="15" customHeight="1" s="29">
      <c r="A7" s="56" t="n"/>
      <c r="B7" s="56" t="n"/>
      <c r="C7" s="32" t="n"/>
      <c r="D7" s="56" t="n"/>
      <c r="E7" s="38" t="n"/>
      <c r="F7" s="56" t="n"/>
      <c r="G7" s="56" t="n"/>
      <c r="H7" s="32" t="n"/>
      <c r="I7" s="56" t="n"/>
      <c r="J7" s="32" t="n"/>
    </row>
    <row r="8" ht="15" customHeight="1" s="29">
      <c r="A8" s="56" t="n"/>
      <c r="B8" s="56" t="n"/>
      <c r="C8" s="32" t="n"/>
      <c r="D8" s="56" t="n"/>
      <c r="E8" s="38" t="n"/>
      <c r="F8" s="56" t="n"/>
      <c r="G8" s="56" t="n"/>
      <c r="H8" s="32" t="n"/>
      <c r="I8" s="56" t="n"/>
      <c r="J8" s="32" t="n"/>
    </row>
    <row r="9" ht="15" customHeight="1" s="29">
      <c r="A9" s="56" t="n"/>
      <c r="B9" s="56" t="n"/>
      <c r="C9" s="32" t="n"/>
      <c r="D9" s="56" t="n"/>
      <c r="E9" s="38" t="n"/>
      <c r="F9" s="56" t="n"/>
      <c r="G9" s="56" t="n"/>
      <c r="H9" s="32" t="n"/>
      <c r="I9" s="56" t="n"/>
      <c r="J9" s="32" t="n"/>
    </row>
    <row r="10" ht="15" customHeight="1" s="29">
      <c r="A10" s="56" t="n"/>
      <c r="B10" s="56" t="n"/>
      <c r="C10" s="32" t="n"/>
      <c r="D10" s="56" t="n"/>
      <c r="E10" s="38" t="n"/>
      <c r="F10" s="56" t="n"/>
      <c r="G10" s="56" t="n"/>
      <c r="H10" s="32" t="n"/>
      <c r="I10" s="56" t="n"/>
      <c r="J10" s="32" t="n"/>
    </row>
    <row r="11" ht="15" customHeight="1" s="29">
      <c r="A11" s="56" t="n"/>
      <c r="B11" s="56" t="n"/>
      <c r="C11" s="32" t="n"/>
      <c r="D11" s="56" t="n"/>
      <c r="E11" s="38" t="n"/>
      <c r="F11" s="56" t="n"/>
      <c r="G11" s="56" t="n"/>
      <c r="H11" s="32" t="n"/>
      <c r="I11" s="56" t="n"/>
      <c r="J11" s="32" t="n"/>
    </row>
    <row r="12" ht="15" customHeight="1" s="29">
      <c r="A12" s="56" t="n"/>
      <c r="B12" s="56" t="n"/>
      <c r="C12" s="32" t="n"/>
      <c r="D12" s="56" t="n"/>
      <c r="E12" s="38" t="n"/>
      <c r="F12" s="56" t="n"/>
      <c r="G12" s="56" t="n"/>
      <c r="H12" s="32" t="n"/>
      <c r="I12" s="56" t="n"/>
      <c r="J12" s="32" t="n"/>
    </row>
    <row r="13" ht="15" customHeight="1" s="29">
      <c r="A13" s="56" t="n"/>
      <c r="B13" s="56" t="n"/>
      <c r="C13" s="32" t="n"/>
      <c r="D13" s="56" t="n"/>
      <c r="E13" s="38" t="n"/>
      <c r="F13" s="56" t="n"/>
      <c r="G13" s="56" t="n"/>
      <c r="H13" s="32" t="n"/>
      <c r="I13" s="56" t="n"/>
      <c r="J13" s="32" t="n"/>
    </row>
    <row r="14" ht="15" customHeight="1" s="29">
      <c r="A14" s="56" t="n"/>
      <c r="B14" s="56" t="n"/>
      <c r="C14" s="32" t="n"/>
      <c r="D14" s="56" t="n"/>
      <c r="E14" s="38" t="n"/>
      <c r="F14" s="56" t="n"/>
      <c r="G14" s="56" t="n"/>
      <c r="H14" s="32" t="n"/>
      <c r="I14" s="56" t="n"/>
      <c r="J14" s="32" t="n"/>
    </row>
    <row r="15" ht="15" customHeight="1" s="29">
      <c r="A15" s="56" t="n"/>
      <c r="B15" s="56" t="n"/>
      <c r="C15" s="32" t="n"/>
      <c r="D15" s="56" t="n"/>
      <c r="E15" s="38" t="n"/>
      <c r="F15" s="56" t="n"/>
      <c r="G15" s="56" t="n"/>
      <c r="H15" s="32" t="n"/>
      <c r="I15" s="56" t="n"/>
      <c r="J15" s="32" t="n"/>
    </row>
    <row r="16" ht="15" customHeight="1" s="29">
      <c r="A16" s="56" t="n"/>
      <c r="B16" s="56" t="n"/>
      <c r="C16" s="32" t="n"/>
      <c r="D16" s="56" t="n"/>
      <c r="E16" s="38" t="n"/>
      <c r="F16" s="56" t="n"/>
      <c r="G16" s="56" t="n"/>
      <c r="H16" s="32" t="n"/>
      <c r="I16" s="56" t="n"/>
      <c r="J16" s="32" t="n"/>
    </row>
    <row r="17" ht="15" customHeight="1" s="29">
      <c r="A17" s="56" t="n"/>
      <c r="B17" s="56" t="n"/>
      <c r="C17" s="32" t="n"/>
      <c r="D17" s="56" t="n"/>
      <c r="E17" s="38" t="n"/>
      <c r="F17" s="56" t="n"/>
      <c r="G17" s="56" t="n"/>
      <c r="H17" s="32" t="n"/>
      <c r="I17" s="56" t="n"/>
      <c r="J17" s="32" t="n"/>
    </row>
    <row r="18" ht="15" customHeight="1" s="29">
      <c r="A18" s="56" t="n"/>
      <c r="B18" s="56" t="n"/>
      <c r="C18" s="32" t="n"/>
      <c r="D18" s="56" t="n"/>
      <c r="E18" s="38" t="n"/>
      <c r="F18" s="56" t="n"/>
      <c r="G18" s="56" t="n"/>
      <c r="H18" s="32" t="n"/>
      <c r="I18" s="56" t="n"/>
      <c r="J18" s="32" t="n"/>
    </row>
    <row r="19" ht="15" customHeight="1" s="29">
      <c r="A19" s="56" t="n"/>
      <c r="B19" s="56" t="n"/>
      <c r="C19" s="32" t="n"/>
      <c r="D19" s="56" t="n"/>
      <c r="E19" s="38" t="n"/>
      <c r="F19" s="56" t="n"/>
      <c r="G19" s="56" t="n"/>
      <c r="H19" s="32" t="n"/>
      <c r="I19" s="56" t="n"/>
      <c r="J19" s="32" t="n"/>
    </row>
    <row r="20" ht="15" customHeight="1" s="29">
      <c r="A20" s="56" t="n"/>
      <c r="B20" s="56" t="n"/>
      <c r="C20" s="32" t="n"/>
      <c r="D20" s="56" t="n"/>
      <c r="E20" s="38" t="n"/>
      <c r="F20" s="56" t="n"/>
      <c r="G20" s="56" t="n"/>
      <c r="H20" s="32" t="n"/>
      <c r="I20" s="56" t="n"/>
      <c r="J20" s="32" t="n"/>
    </row>
    <row r="21" ht="15" customHeight="1" s="29">
      <c r="A21" s="56" t="n"/>
      <c r="B21" s="56" t="n"/>
      <c r="C21" s="32" t="n"/>
      <c r="D21" s="56" t="n"/>
      <c r="E21" s="38" t="n"/>
      <c r="F21" s="56" t="n"/>
      <c r="G21" s="56" t="n"/>
      <c r="H21" s="32" t="n"/>
      <c r="I21" s="56" t="n"/>
      <c r="J21" s="32" t="n"/>
    </row>
    <row r="22" ht="15" customHeight="1" s="29">
      <c r="A22" s="56" t="n"/>
      <c r="B22" s="56" t="n"/>
      <c r="C22" s="32" t="n"/>
      <c r="D22" s="56" t="n"/>
      <c r="E22" s="38" t="n"/>
      <c r="F22" s="56" t="n"/>
      <c r="G22" s="56" t="n"/>
      <c r="H22" s="32" t="n"/>
      <c r="I22" s="56" t="n"/>
      <c r="J22" s="32" t="n"/>
    </row>
    <row r="23" ht="15" customHeight="1" s="29">
      <c r="A23" s="56" t="n"/>
      <c r="B23" s="56" t="n"/>
      <c r="C23" s="32" t="n"/>
      <c r="D23" s="56" t="n"/>
      <c r="E23" s="38" t="n"/>
      <c r="F23" s="56" t="n"/>
      <c r="G23" s="56" t="n"/>
      <c r="H23" s="32" t="n"/>
      <c r="I23" s="56" t="n"/>
      <c r="J23" s="32" t="n"/>
    </row>
    <row r="24" ht="15" customHeight="1" s="29">
      <c r="A24" s="56" t="n"/>
      <c r="B24" s="56" t="n"/>
      <c r="C24" s="32" t="n"/>
      <c r="D24" s="56" t="n"/>
      <c r="E24" s="38" t="n"/>
      <c r="F24" s="56" t="n"/>
      <c r="G24" s="56" t="n"/>
      <c r="H24" s="32" t="n"/>
      <c r="I24" s="56" t="n"/>
      <c r="J24" s="32" t="n"/>
    </row>
    <row r="25" ht="15" customHeight="1" s="29">
      <c r="A25" s="56" t="n"/>
      <c r="B25" s="56" t="n"/>
      <c r="C25" s="32" t="n"/>
      <c r="D25" s="56" t="n"/>
      <c r="E25" s="38" t="n"/>
      <c r="F25" s="56" t="n"/>
      <c r="G25" s="56" t="n"/>
      <c r="H25" s="32" t="n"/>
      <c r="I25" s="56" t="n"/>
      <c r="J25" s="32" t="n"/>
    </row>
    <row r="26" ht="15" customHeight="1" s="29">
      <c r="A26" s="56" t="n"/>
      <c r="B26" s="56" t="n"/>
      <c r="C26" s="32" t="n"/>
      <c r="D26" s="56" t="n"/>
      <c r="E26" s="38" t="n"/>
      <c r="F26" s="56" t="n"/>
      <c r="G26" s="56" t="n"/>
      <c r="H26" s="32" t="n"/>
      <c r="I26" s="56" t="n"/>
      <c r="J26" s="32" t="n"/>
    </row>
    <row r="27" ht="15" customHeight="1" s="29">
      <c r="A27" s="56" t="n"/>
      <c r="B27" s="56" t="n"/>
      <c r="C27" s="32" t="n"/>
      <c r="D27" s="56" t="n"/>
      <c r="E27" s="38" t="n"/>
      <c r="F27" s="56" t="n"/>
      <c r="G27" s="56" t="n"/>
      <c r="H27" s="32" t="n"/>
      <c r="I27" s="56" t="n"/>
      <c r="J27" s="32" t="n"/>
    </row>
    <row r="28" ht="15" customHeight="1" s="29">
      <c r="A28" s="56" t="n"/>
      <c r="B28" s="56" t="n"/>
      <c r="C28" s="32" t="n"/>
      <c r="D28" s="56" t="n"/>
      <c r="E28" s="38" t="n"/>
      <c r="F28" s="56" t="n"/>
      <c r="G28" s="56" t="n"/>
      <c r="H28" s="32" t="n"/>
      <c r="I28" s="56" t="n"/>
      <c r="J28" s="32" t="n"/>
    </row>
    <row r="29" ht="15" customHeight="1" s="29">
      <c r="A29" s="56" t="n"/>
      <c r="B29" s="56" t="n"/>
      <c r="C29" s="32" t="n"/>
      <c r="D29" s="56" t="n"/>
      <c r="E29" s="38" t="n"/>
      <c r="F29" s="56" t="n"/>
      <c r="G29" s="56" t="n"/>
      <c r="H29" s="32" t="n"/>
      <c r="I29" s="56" t="n"/>
      <c r="J29" s="32" t="n"/>
    </row>
    <row r="30" ht="15" customHeight="1" s="29">
      <c r="A30" s="56" t="n"/>
      <c r="B30" s="56" t="n"/>
      <c r="C30" s="32" t="n"/>
      <c r="D30" s="56" t="n"/>
      <c r="E30" s="38" t="n"/>
      <c r="F30" s="56" t="n"/>
      <c r="G30" s="56" t="n"/>
      <c r="H30" s="32" t="n"/>
      <c r="I30" s="56" t="n"/>
      <c r="J30" s="32" t="n"/>
    </row>
    <row r="31" ht="15" customHeight="1" s="29">
      <c r="A31" s="56" t="n"/>
      <c r="B31" s="56" t="n"/>
      <c r="C31" s="32" t="n"/>
      <c r="D31" s="56" t="n"/>
      <c r="E31" s="38" t="n"/>
      <c r="F31" s="56" t="n"/>
      <c r="G31" s="56" t="n"/>
      <c r="H31" s="32" t="n"/>
      <c r="I31" s="56" t="n"/>
      <c r="J31" s="32" t="n"/>
    </row>
    <row r="32" ht="15" customHeight="1" s="29">
      <c r="A32" s="56" t="n"/>
      <c r="B32" s="56" t="n"/>
      <c r="C32" s="32" t="n"/>
      <c r="D32" s="56" t="n"/>
      <c r="E32" s="38" t="n"/>
      <c r="F32" s="56" t="n"/>
      <c r="G32" s="56" t="n"/>
      <c r="H32" s="32" t="n"/>
      <c r="I32" s="56" t="n"/>
      <c r="J32" s="32" t="n"/>
    </row>
    <row r="33" ht="15" customHeight="1" s="29">
      <c r="A33" s="56" t="n"/>
      <c r="B33" s="56" t="n"/>
      <c r="C33" s="32" t="n"/>
      <c r="D33" s="56" t="n"/>
      <c r="E33" s="38" t="n"/>
      <c r="F33" s="56" t="n"/>
      <c r="G33" s="56" t="n"/>
      <c r="H33" s="32" t="n"/>
      <c r="I33" s="56" t="n"/>
      <c r="J33" s="32" t="n"/>
    </row>
  </sheetData>
  <mergeCells count="2">
    <mergeCell ref="A1:J1"/>
    <mergeCell ref="A2:J2"/>
  </mergeCells>
  <dataValidations count="3">
    <dataValidation sqref="D4:D33" showDropDown="0" showInputMessage="0" showErrorMessage="0" allowBlank="1" type="list" errorStyle="stop" operator="between">
      <formula1>"버그,개선 제안,확인 요청"</formula1>
      <formula2>0</formula2>
    </dataValidation>
    <dataValidation sqref="E4:E33" showDropDown="0" showInputMessage="0" showErrorMessage="0" allowBlank="1" type="list" errorStyle="stop" operator="between">
      <formula1>"Critical,Major,Minor,Trivial"</formula1>
      <formula2>0</formula2>
    </dataValidation>
    <dataValidation sqref="I4:I33" showDropDown="0" showInputMessage="0" showErrorMessage="0" allowBlank="1" type="list" errorStyle="stop" operator="between">
      <formula1>"등록,재현 확인,제보,수정 확인,종료"</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2026-10-15T12:29:44Z</dcterms:created>
  <dcterms:modified xmlns:dcterms="http://purl.org/dc/terms/" xmlns:xsi="http://www.w3.org/2001/XMLSchema-instance" xsi:type="dcterms:W3CDTF">2026-10-18T04:42:02Z</dcterms:modified>
  <cp:lastModifiedBy>김성재김성재</cp:lastModifiedBy>
  <cp:revision>0</cp:revision>
</cp:coreProperties>
</file>